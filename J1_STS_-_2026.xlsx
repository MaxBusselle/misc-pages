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neralmotors-my.sharepoint.com/personal/sz49pq_nam_corp_gm_com/Documents/02 Personal/Career/Personal Projects/FLINT/STS - Roles-Responsibilities/"/>
    </mc:Choice>
  </mc:AlternateContent>
  <xr:revisionPtr revIDLastSave="0" documentId="8_{1EACAD4D-3818-4F65-865A-88584922A514}" xr6:coauthVersionLast="47" xr6:coauthVersionMax="47" xr10:uidLastSave="{00000000-0000-0000-0000-000000000000}"/>
  <bookViews>
    <workbookView xWindow="-90" yWindow="-16310" windowWidth="29020" windowHeight="15700" xr2:uid="{00000000-000D-0000-FFFF-FFFF00000000}"/>
  </bookViews>
  <sheets>
    <sheet name="J1-Page1" sheetId="11" r:id="rId1"/>
    <sheet name="J1-Page2" sheetId="14" r:id="rId2"/>
    <sheet name="STS Example" sheetId="12" r:id="rId3"/>
    <sheet name="STS Audit" sheetId="13" r:id="rId4"/>
  </sheets>
  <definedNames>
    <definedName name="_xlnm.Print_Area" localSheetId="0">'J1-Page1'!$A$1:$U$68</definedName>
    <definedName name="_xlnm.Print_Area" localSheetId="1">'J1-Page2'!$A$1:$U$68</definedName>
    <definedName name="_xlnm.Print_Area" localSheetId="2">'STS Example'!$A$1:$U$68</definedName>
    <definedName name="_xlnm.Print_Titles" localSheetId="0">'J1-Page1'!$1:$4</definedName>
    <definedName name="_xlnm.Print_Titles" localSheetId="1">'J1-Page2'!$1:$4</definedName>
    <definedName name="_xlnm.Print_Titles" localSheetId="2">'STS Example'!$1:$4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0" i="14" l="1"/>
  <c r="U59" i="14" l="1"/>
  <c r="T59" i="14"/>
  <c r="S59" i="14"/>
  <c r="U58" i="14"/>
  <c r="T58" i="14"/>
  <c r="S58" i="14"/>
  <c r="U57" i="14"/>
  <c r="T57" i="14"/>
  <c r="S57" i="14"/>
  <c r="U56" i="14"/>
  <c r="T56" i="14"/>
  <c r="S56" i="14"/>
  <c r="U55" i="14"/>
  <c r="T55" i="14"/>
  <c r="S55" i="14"/>
  <c r="U54" i="14"/>
  <c r="T54" i="14"/>
  <c r="S54" i="14"/>
  <c r="U53" i="14"/>
  <c r="T53" i="14"/>
  <c r="S53" i="14"/>
  <c r="U52" i="14"/>
  <c r="T52" i="14"/>
  <c r="S52" i="14"/>
  <c r="U51" i="14"/>
  <c r="T51" i="14"/>
  <c r="S51" i="14"/>
  <c r="U50" i="14"/>
  <c r="T50" i="14"/>
  <c r="S50" i="14"/>
  <c r="U49" i="14"/>
  <c r="T49" i="14"/>
  <c r="S49" i="14"/>
  <c r="U48" i="14"/>
  <c r="T48" i="14"/>
  <c r="S48" i="14"/>
  <c r="U47" i="14"/>
  <c r="T47" i="14"/>
  <c r="S47" i="14"/>
  <c r="U46" i="14"/>
  <c r="T46" i="14"/>
  <c r="S46" i="14"/>
  <c r="U45" i="14"/>
  <c r="T45" i="14"/>
  <c r="S45" i="14"/>
  <c r="U44" i="14"/>
  <c r="T44" i="14"/>
  <c r="S44" i="14"/>
  <c r="U43" i="14"/>
  <c r="T43" i="14"/>
  <c r="S43" i="14"/>
  <c r="U42" i="14"/>
  <c r="T42" i="14"/>
  <c r="S42" i="14"/>
  <c r="U41" i="14"/>
  <c r="T41" i="14"/>
  <c r="S41" i="14"/>
  <c r="U40" i="14"/>
  <c r="T40" i="14"/>
  <c r="S40" i="14"/>
  <c r="U39" i="14"/>
  <c r="T39" i="14"/>
  <c r="S39" i="14"/>
  <c r="U38" i="14"/>
  <c r="T38" i="14"/>
  <c r="S38" i="14"/>
  <c r="U37" i="14"/>
  <c r="T37" i="14"/>
  <c r="S37" i="14"/>
  <c r="U36" i="14"/>
  <c r="T36" i="14"/>
  <c r="S36" i="14"/>
  <c r="U35" i="14"/>
  <c r="T35" i="14"/>
  <c r="S35" i="14"/>
  <c r="U34" i="14"/>
  <c r="T34" i="14"/>
  <c r="S34" i="14"/>
  <c r="U33" i="14"/>
  <c r="T33" i="14"/>
  <c r="S33" i="14"/>
  <c r="U32" i="14"/>
  <c r="T32" i="14"/>
  <c r="S32" i="14"/>
  <c r="U31" i="14"/>
  <c r="T31" i="14"/>
  <c r="S31" i="14"/>
  <c r="U30" i="14"/>
  <c r="T30" i="14"/>
  <c r="U59" i="12" l="1"/>
  <c r="T59" i="12"/>
  <c r="S59" i="12"/>
  <c r="U58" i="12"/>
  <c r="T58" i="12"/>
  <c r="S58" i="12"/>
  <c r="U57" i="12"/>
  <c r="T57" i="12"/>
  <c r="S57" i="12"/>
  <c r="U56" i="12"/>
  <c r="T56" i="12"/>
  <c r="S56" i="12"/>
  <c r="U55" i="12"/>
  <c r="T55" i="12"/>
  <c r="S55" i="12"/>
  <c r="U54" i="12"/>
  <c r="T54" i="12"/>
  <c r="S54" i="12"/>
  <c r="U53" i="12"/>
  <c r="T53" i="12"/>
  <c r="S53" i="12"/>
  <c r="U52" i="12"/>
  <c r="T52" i="12"/>
  <c r="S52" i="12"/>
  <c r="U51" i="12"/>
  <c r="T51" i="12"/>
  <c r="S51" i="12"/>
  <c r="U50" i="12"/>
  <c r="T50" i="12"/>
  <c r="S50" i="12"/>
  <c r="U49" i="12"/>
  <c r="T49" i="12"/>
  <c r="S49" i="12"/>
  <c r="U48" i="12"/>
  <c r="T48" i="12"/>
  <c r="S48" i="12"/>
  <c r="U47" i="12"/>
  <c r="T47" i="12"/>
  <c r="S47" i="12"/>
  <c r="U46" i="12"/>
  <c r="T46" i="12"/>
  <c r="S46" i="12"/>
  <c r="U45" i="12"/>
  <c r="T45" i="12"/>
  <c r="S45" i="12"/>
  <c r="U44" i="12"/>
  <c r="T44" i="12"/>
  <c r="S44" i="12"/>
  <c r="U43" i="12"/>
  <c r="T43" i="12"/>
  <c r="S43" i="12"/>
  <c r="U42" i="12"/>
  <c r="T42" i="12"/>
  <c r="S42" i="12"/>
  <c r="U41" i="12"/>
  <c r="T41" i="12"/>
  <c r="S41" i="12"/>
  <c r="U40" i="12"/>
  <c r="T40" i="12"/>
  <c r="S40" i="12"/>
  <c r="U39" i="12"/>
  <c r="T39" i="12"/>
  <c r="S39" i="12"/>
  <c r="U38" i="12"/>
  <c r="T38" i="12"/>
  <c r="S38" i="12"/>
  <c r="U37" i="12"/>
  <c r="T37" i="12"/>
  <c r="S37" i="12"/>
  <c r="U36" i="12"/>
  <c r="T36" i="12"/>
  <c r="S36" i="12"/>
  <c r="U35" i="12"/>
  <c r="T35" i="12"/>
  <c r="S35" i="12"/>
  <c r="U34" i="12"/>
  <c r="T34" i="12"/>
  <c r="S34" i="12"/>
  <c r="U33" i="12"/>
  <c r="T33" i="12"/>
  <c r="S33" i="12"/>
  <c r="U32" i="12"/>
  <c r="T32" i="12"/>
  <c r="S32" i="12"/>
  <c r="U31" i="12"/>
  <c r="T31" i="12"/>
  <c r="S31" i="12"/>
  <c r="U30" i="12"/>
  <c r="U60" i="12" s="1"/>
  <c r="T30" i="12"/>
  <c r="T60" i="12" s="1"/>
  <c r="S30" i="12"/>
  <c r="S60" i="12" s="1"/>
  <c r="U59" i="11"/>
  <c r="T59" i="11"/>
  <c r="S59" i="11"/>
  <c r="U58" i="11"/>
  <c r="T58" i="11"/>
  <c r="S58" i="11"/>
  <c r="U57" i="11"/>
  <c r="T57" i="11"/>
  <c r="S57" i="11"/>
  <c r="U56" i="11"/>
  <c r="T56" i="11"/>
  <c r="S56" i="11"/>
  <c r="U55" i="11"/>
  <c r="T55" i="11"/>
  <c r="S55" i="11"/>
  <c r="U54" i="11"/>
  <c r="T54" i="11"/>
  <c r="S54" i="11"/>
  <c r="U53" i="11"/>
  <c r="T53" i="11"/>
  <c r="S53" i="11"/>
  <c r="U52" i="11"/>
  <c r="T52" i="11"/>
  <c r="S52" i="11"/>
  <c r="U51" i="11"/>
  <c r="T51" i="11"/>
  <c r="S51" i="11"/>
  <c r="U50" i="11"/>
  <c r="T50" i="11"/>
  <c r="S50" i="11"/>
  <c r="U49" i="11"/>
  <c r="T49" i="11"/>
  <c r="S49" i="11"/>
  <c r="U48" i="11"/>
  <c r="T48" i="11"/>
  <c r="S48" i="11"/>
  <c r="U47" i="11"/>
  <c r="T47" i="11"/>
  <c r="S47" i="11"/>
  <c r="U46" i="11"/>
  <c r="T46" i="11"/>
  <c r="S46" i="11"/>
  <c r="U45" i="11"/>
  <c r="T45" i="11"/>
  <c r="S45" i="11"/>
  <c r="U44" i="11"/>
  <c r="T44" i="11"/>
  <c r="S44" i="11"/>
  <c r="U43" i="11"/>
  <c r="T43" i="11"/>
  <c r="S43" i="11"/>
  <c r="U42" i="11"/>
  <c r="T42" i="11"/>
  <c r="S42" i="11"/>
  <c r="U41" i="11"/>
  <c r="T41" i="11"/>
  <c r="S41" i="11"/>
  <c r="U40" i="11"/>
  <c r="T40" i="11"/>
  <c r="S40" i="11"/>
  <c r="U39" i="11"/>
  <c r="T39" i="11"/>
  <c r="S39" i="11"/>
  <c r="U38" i="11"/>
  <c r="T38" i="11"/>
  <c r="S38" i="11"/>
  <c r="U37" i="11"/>
  <c r="T37" i="11"/>
  <c r="S37" i="11"/>
  <c r="U36" i="11"/>
  <c r="T36" i="11"/>
  <c r="S36" i="11"/>
  <c r="U35" i="11"/>
  <c r="T35" i="11"/>
  <c r="S35" i="11"/>
  <c r="U34" i="11"/>
  <c r="T34" i="11"/>
  <c r="S34" i="11"/>
  <c r="U33" i="11"/>
  <c r="T33" i="11"/>
  <c r="S33" i="11"/>
  <c r="U32" i="11"/>
  <c r="T32" i="11"/>
  <c r="S32" i="11"/>
  <c r="U31" i="11"/>
  <c r="T31" i="11"/>
  <c r="S31" i="11"/>
  <c r="U30" i="11"/>
  <c r="T30" i="11"/>
  <c r="S30" i="11"/>
  <c r="S60" i="11" l="1"/>
  <c r="S60" i="14"/>
  <c r="T60" i="11"/>
  <c r="T60" i="14"/>
  <c r="U60" i="14"/>
  <c r="U60" i="11"/>
</calcChain>
</file>

<file path=xl/sharedStrings.xml><?xml version="1.0" encoding="utf-8"?>
<sst xmlns="http://schemas.openxmlformats.org/spreadsheetml/2006/main" count="683" uniqueCount="206">
  <si>
    <t>Plant Name:</t>
  </si>
  <si>
    <t xml:space="preserve">Wentzville </t>
  </si>
  <si>
    <t xml:space="preserve">        STANDARD TASK SHEET</t>
  </si>
  <si>
    <t>Available Op Time</t>
  </si>
  <si>
    <t>Frequency</t>
  </si>
  <si>
    <t>Shift Conditional</t>
  </si>
  <si>
    <t>SPQRCE</t>
  </si>
  <si>
    <t>Department / Area:</t>
  </si>
  <si>
    <t>Available Operating Time:</t>
  </si>
  <si>
    <t>Prepared By:</t>
  </si>
  <si>
    <t>440 minutes (8 hours)</t>
  </si>
  <si>
    <t>D</t>
  </si>
  <si>
    <t>Y</t>
  </si>
  <si>
    <t>S</t>
  </si>
  <si>
    <t>456 minutes (8 hours)</t>
  </si>
  <si>
    <t>W</t>
  </si>
  <si>
    <t>N</t>
  </si>
  <si>
    <t>P</t>
  </si>
  <si>
    <t>Operation Name:</t>
  </si>
  <si>
    <t>Team:</t>
  </si>
  <si>
    <t>Page:</t>
  </si>
  <si>
    <t>Date:</t>
  </si>
  <si>
    <t>516 minutes(9 hours)</t>
  </si>
  <si>
    <t>M</t>
  </si>
  <si>
    <t>Q</t>
  </si>
  <si>
    <t>Team Leader</t>
  </si>
  <si>
    <t>1 of 2</t>
  </si>
  <si>
    <t>576 minutes (10 hours)</t>
  </si>
  <si>
    <t>R</t>
  </si>
  <si>
    <r>
      <t xml:space="preserve">    STS</t>
    </r>
    <r>
      <rPr>
        <sz val="18"/>
        <rFont val="Arial"/>
        <family val="2"/>
      </rPr>
      <t xml:space="preserve"> Base Line Knowledge/Training:</t>
    </r>
  </si>
  <si>
    <t xml:space="preserve"> </t>
  </si>
  <si>
    <t>C</t>
  </si>
  <si>
    <t>E</t>
  </si>
  <si>
    <t>SAFETY</t>
  </si>
  <si>
    <t>All Required Safety Training (inc. Haz Material)</t>
  </si>
  <si>
    <t>QUALITY</t>
  </si>
  <si>
    <t>Process Control Plans</t>
  </si>
  <si>
    <t>COST</t>
  </si>
  <si>
    <t>Point Of Use, Spare Parts and Warranty</t>
  </si>
  <si>
    <t>High Risk TIS's/ Take 2</t>
  </si>
  <si>
    <t>Quality Alerts</t>
  </si>
  <si>
    <t>COMMWIP - Waste Elimination</t>
  </si>
  <si>
    <t>Safety Playbook and Safety Policy</t>
  </si>
  <si>
    <t>Product Quality Standards</t>
  </si>
  <si>
    <t>Basic Ind. Material/Purchasing/SAP</t>
  </si>
  <si>
    <t>Emergency Response Process</t>
  </si>
  <si>
    <t>BIQ Process: Level III/IV</t>
  </si>
  <si>
    <t>Scrap Process</t>
  </si>
  <si>
    <t>SOT, SIR, ESCP, SOP, PPE, Ergonomics</t>
  </si>
  <si>
    <t>Problem Solving/Continuous Improvement</t>
  </si>
  <si>
    <t>Pre Task Planning/ Pre-Op card process</t>
  </si>
  <si>
    <t>Understanding PFMEA and MFMEA</t>
  </si>
  <si>
    <t>PEOPLE</t>
  </si>
  <si>
    <t>Computer Skills-E-mail, Microsoft Office, etc.</t>
  </si>
  <si>
    <t>GSIP</t>
  </si>
  <si>
    <t>ENVIRONMENTAL</t>
  </si>
  <si>
    <t>Understand E Requirements of the area</t>
  </si>
  <si>
    <t>TM/TL Evaluation Process</t>
  </si>
  <si>
    <t>Shop Floor Quality Systems - FBFF</t>
  </si>
  <si>
    <t>Work Place Organization (5-S)</t>
  </si>
  <si>
    <t>4 Quarter Certified in all Team Jobs</t>
  </si>
  <si>
    <t>ISO</t>
  </si>
  <si>
    <t>Environmental Aspects / TISs</t>
  </si>
  <si>
    <t>Suggestions</t>
  </si>
  <si>
    <t>RESP.</t>
  </si>
  <si>
    <t>PM&amp;C</t>
  </si>
  <si>
    <t>JIT Training &amp; Flexibility Chart Training</t>
  </si>
  <si>
    <t>TIP (OEE and Constraints Management)</t>
  </si>
  <si>
    <t>GMS Training</t>
  </si>
  <si>
    <t>Maximo (CMMS)</t>
  </si>
  <si>
    <t xml:space="preserve">Layered Audits </t>
  </si>
  <si>
    <t>Andon and Plant Escalation Process</t>
  </si>
  <si>
    <t>Leading Effective Meetings</t>
  </si>
  <si>
    <t>Material Delivery System</t>
  </si>
  <si>
    <t>Team Concept, TM &amp; TL R&amp;Rs</t>
  </si>
  <si>
    <t>Total Productive Maintenance (TPM)</t>
  </si>
  <si>
    <t>JES/SOS/TIS (Safety/People/Responsiveness)</t>
  </si>
  <si>
    <t>TL STS and TISs</t>
  </si>
  <si>
    <t>BPD and Level 5 (SPQRCE)</t>
  </si>
  <si>
    <t>Plant Recognition Process</t>
  </si>
  <si>
    <t>Standardized Work (JES/SOS/TIS)</t>
  </si>
  <si>
    <t>Coaching Skills to help TMs improve</t>
  </si>
  <si>
    <t>Complete Proficiency Check Lists-3/4 Harvey</t>
  </si>
  <si>
    <t>#</t>
  </si>
  <si>
    <t>Task:</t>
  </si>
  <si>
    <t>TIS:</t>
  </si>
  <si>
    <t>Notes:</t>
  </si>
  <si>
    <r>
      <t xml:space="preserve">Task Cycle Time: </t>
    </r>
    <r>
      <rPr>
        <b/>
        <i/>
        <sz val="12"/>
        <rFont val="Arial"/>
        <family val="2"/>
      </rPr>
      <t>(Min.)</t>
    </r>
  </si>
  <si>
    <r>
      <t xml:space="preserve">Frequency: </t>
    </r>
    <r>
      <rPr>
        <b/>
        <sz val="10"/>
        <rFont val="Arial"/>
        <family val="2"/>
      </rPr>
      <t>(Time) I (D=Day, W=Week, M=Month, Y=Year)</t>
    </r>
  </si>
  <si>
    <t>Shift</t>
  </si>
  <si>
    <r>
      <t xml:space="preserve">
Total Cycle Time: </t>
    </r>
    <r>
      <rPr>
        <b/>
        <i/>
        <sz val="12"/>
        <rFont val="Arial"/>
        <family val="2"/>
      </rPr>
      <t>(Daily)</t>
    </r>
    <r>
      <rPr>
        <b/>
        <sz val="12"/>
        <rFont val="Arial"/>
        <family val="2"/>
      </rPr>
      <t xml:space="preserve">
SHIFT</t>
    </r>
  </si>
  <si>
    <t>Confirm Team Members are Wearing PPE.</t>
  </si>
  <si>
    <t>TIS-00-0018</t>
  </si>
  <si>
    <t>Perform Safety Observation Tour (SOT)</t>
  </si>
  <si>
    <t>Be proactive - not reactive</t>
  </si>
  <si>
    <t>Check email.</t>
  </si>
  <si>
    <t>If you cannot log in, ESCALATE!</t>
  </si>
  <si>
    <t>Engage in BPD-Daily TL/GL Huddle</t>
  </si>
  <si>
    <t>TIS-00-0024</t>
  </si>
  <si>
    <r>
      <t>Update</t>
    </r>
    <r>
      <rPr>
        <sz val="11"/>
        <color theme="1"/>
        <rFont val="Arial"/>
        <family val="2"/>
      </rPr>
      <t xml:space="preserve"> BPD daily @ Huddle</t>
    </r>
  </si>
  <si>
    <t>Lead/engage TMs in problem solving for CI, CM or PPS</t>
  </si>
  <si>
    <t>Escalate as required.</t>
  </si>
  <si>
    <t>Maintain Team Supplies -Order from Libra</t>
  </si>
  <si>
    <t>TIS-00-0020</t>
  </si>
  <si>
    <t>Order from Libra, purchase from Stores</t>
  </si>
  <si>
    <t>Communicate information effectively and in a timely manner.</t>
  </si>
  <si>
    <t>Effective three-way communication. GL, TL &amp; TM</t>
  </si>
  <si>
    <t>Train Operator using JIT Process - update Flex</t>
  </si>
  <si>
    <t>TIS-00-0023</t>
  </si>
  <si>
    <r>
      <t xml:space="preserve">The purpose of JIT is to produce a </t>
    </r>
    <r>
      <rPr>
        <u/>
        <sz val="11"/>
        <rFont val="Arial"/>
        <family val="2"/>
      </rPr>
      <t>professionally trained</t>
    </r>
    <r>
      <rPr>
        <sz val="11"/>
        <rFont val="Arial"/>
        <family val="2"/>
      </rPr>
      <t xml:space="preserve"> Team Member!</t>
    </r>
  </si>
  <si>
    <t>Maintain JESs and standardized work documents - ensure up to date</t>
  </si>
  <si>
    <t>Follow SW change process</t>
  </si>
  <si>
    <t>Prepare for and lead Weekly Team Meetings</t>
  </si>
  <si>
    <t>TIS-00-0019</t>
  </si>
  <si>
    <t>Follow SPQRCE and keep minutes</t>
  </si>
  <si>
    <t xml:space="preserve">Support Team Members (respond to Andon calls, parts issues, etc.) </t>
  </si>
  <si>
    <t>Review data for improvement ideas</t>
  </si>
  <si>
    <t>Respond to radio calls, contact maintenance and make repairs as required.</t>
  </si>
  <si>
    <t>Get support from adjacent team leaders as needed.</t>
  </si>
  <si>
    <t>Conduct Daily Quality Focus Checks</t>
  </si>
  <si>
    <t>TIS-00-0025</t>
  </si>
  <si>
    <t>QFCs are performed once daily.</t>
  </si>
  <si>
    <t>Complete Error Proofing Checks</t>
  </si>
  <si>
    <t>TIS-00-0026</t>
  </si>
  <si>
    <t>Error proofing checks are 1X per week.</t>
  </si>
  <si>
    <t>Monitor, respond to, report on, and resolve Quality Issues</t>
  </si>
  <si>
    <t>(GCA, 5F, Quality Gates, etc.)</t>
  </si>
  <si>
    <t xml:space="preserve">Conduct a layered audit per schedule </t>
  </si>
  <si>
    <t>TIS-00-0022</t>
  </si>
  <si>
    <t>Document findings on level 5 if can't fix.</t>
  </si>
  <si>
    <t>Ensure TMs are 3/4 certified and that Flex Chart is updated</t>
  </si>
  <si>
    <t>Follow proper retention and maintain files</t>
  </si>
  <si>
    <t>Trace Data Repair/ Manual Trace Data Repair</t>
  </si>
  <si>
    <t>TIS-00-0163
TIS-00-0164</t>
  </si>
  <si>
    <t>Critical Fastener Process Key Release/ Critical Fastener Process Prod TL</t>
  </si>
  <si>
    <t>TIS-00-0057A
TIS-00-0057B</t>
  </si>
  <si>
    <t>Team Leader Start/End of Shift Activities</t>
  </si>
  <si>
    <t>TIS-00-0016</t>
  </si>
  <si>
    <t>Check material, verify people on jobs, WPO walk of team.</t>
  </si>
  <si>
    <t>Confirm PMP Checks are performed by TMs</t>
  </si>
  <si>
    <t>Escalate to GL when needed</t>
  </si>
  <si>
    <t xml:space="preserve">Monitor Production and Quality in your Team </t>
  </si>
  <si>
    <t>TIS-00-0027</t>
  </si>
  <si>
    <t>Support Team Members in the event of Model mix isssues.</t>
  </si>
  <si>
    <t>In the absence of additional help.</t>
  </si>
  <si>
    <t>Participate in Throughput Improvement Process (TIP)</t>
  </si>
  <si>
    <t>TIS-00-0014</t>
  </si>
  <si>
    <t>Identify &amp; solve TIP opportunities</t>
  </si>
  <si>
    <t>Team Leader TITV Tool Check and Stamp</t>
  </si>
  <si>
    <t>TIS-00-0142</t>
  </si>
  <si>
    <t>Update stamp log as required.</t>
  </si>
  <si>
    <t>Verify that backup systems and tools are functioning.</t>
  </si>
  <si>
    <t>To ensure backups work when needed.</t>
  </si>
  <si>
    <t>Conduct Operation Readiness Assessment</t>
  </si>
  <si>
    <t>TIS-00-0029</t>
  </si>
  <si>
    <t>Per Readiness Process</t>
  </si>
  <si>
    <t>Focus on waste elimination utilizing COMWIPP as a guide.</t>
  </si>
  <si>
    <t>Involve every team member in team meetings and in daily conversations.</t>
  </si>
  <si>
    <t>Team Leader Scrap Process</t>
  </si>
  <si>
    <t>TIS-00-0030</t>
  </si>
  <si>
    <t>Utilize eScrap</t>
  </si>
  <si>
    <t>Understandand and comply with Environmental Policies</t>
  </si>
  <si>
    <t>Ensure every chemical container has appropriate chemical label.</t>
  </si>
  <si>
    <t>Signature Block:</t>
  </si>
  <si>
    <t>Work Change History:</t>
  </si>
  <si>
    <t>Shift:</t>
  </si>
  <si>
    <t>Group Leader</t>
  </si>
  <si>
    <t>Name:</t>
  </si>
  <si>
    <t>Change Description:</t>
  </si>
  <si>
    <t>Sign</t>
  </si>
  <si>
    <t>J.Shuster</t>
  </si>
  <si>
    <t>Updated TIS #'s for TRACE data</t>
  </si>
  <si>
    <t>Date</t>
  </si>
  <si>
    <t>STS Template Update</t>
  </si>
  <si>
    <t>Annual Review</t>
  </si>
  <si>
    <t>2 of 2</t>
  </si>
  <si>
    <t>Promote and monitor Waste Segregation with TMs</t>
  </si>
  <si>
    <t xml:space="preserve">Check trash, recycle, and glove containers regularly / coach TMs. </t>
  </si>
  <si>
    <r>
      <t xml:space="preserve">Total Time from All Pages: </t>
    </r>
    <r>
      <rPr>
        <b/>
        <i/>
        <sz val="12"/>
        <rFont val="Arial"/>
        <family val="2"/>
      </rPr>
      <t>(Weighted Daily)</t>
    </r>
  </si>
  <si>
    <t>Trim - Carpet</t>
  </si>
  <si>
    <t>Elwyn Employee</t>
  </si>
  <si>
    <t>H3 - Team Leader</t>
  </si>
  <si>
    <t>H3</t>
  </si>
  <si>
    <t>1 of 1</t>
  </si>
  <si>
    <t>GA Team Leader</t>
  </si>
  <si>
    <t>Put out new PMP sheets for the week</t>
  </si>
  <si>
    <t>Print and place PMP sheets</t>
  </si>
  <si>
    <t>Perform Start of shift activities</t>
  </si>
  <si>
    <t>25-0001</t>
  </si>
  <si>
    <t>Collect prior week PMP sheets</t>
  </si>
  <si>
    <t>Collect and file paperwork</t>
  </si>
  <si>
    <t>Attend weekly Standardization Basketweave Meeting</t>
  </si>
  <si>
    <t>Attend meeting, report info to team</t>
  </si>
  <si>
    <t>Support Model Mix Variation</t>
  </si>
  <si>
    <t>Support TMs to accomplish operations in cycle</t>
  </si>
  <si>
    <t>Perform PPE check in area</t>
  </si>
  <si>
    <t>Ensure TMs using proper PPE</t>
  </si>
  <si>
    <t>Yellow Bag Process</t>
  </si>
  <si>
    <t>Ensure 100% clicking/beaming of fastners occurs until Torque Monitor verifies 3 good torque readings</t>
  </si>
  <si>
    <t>Blue Bag Process</t>
  </si>
  <si>
    <t>Ensure 100% clicking/beaming of fastners occurs until UAT is complete</t>
  </si>
  <si>
    <t>Added Task #32 Yellow Bag Process and Task #33 Blue Bag Process</t>
  </si>
  <si>
    <t>Trim - IP GLASS</t>
  </si>
  <si>
    <t>J1</t>
  </si>
  <si>
    <t>M. Pargo</t>
  </si>
  <si>
    <t>R. Woodson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</si>
</sst>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0"/>
      <name val="Arial"/>
    </font>
    <font>
      <b/>
      <sz val="12"/>
      <name val="Arial"/>
      <family val="2"/>
    </font>
    <font>
      <sz val="18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sz val="24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sz val="12"/>
      <color theme="1"/>
      <name val="Arial"/>
      <family val="2"/>
    </font>
    <font>
      <i/>
      <sz val="18"/>
      <color rgb="FF0000FF"/>
      <name val="Arial"/>
      <family val="2"/>
    </font>
    <font>
      <sz val="10"/>
      <color theme="0"/>
      <name val="Arial"/>
      <family val="2"/>
    </font>
    <font>
      <sz val="11"/>
      <name val="Arial"/>
      <family val="2"/>
    </font>
    <font>
      <sz val="12"/>
      <color rgb="FF000000"/>
      <name val="Arial"/>
      <family val="2"/>
    </font>
    <font>
      <u/>
      <sz val="11"/>
      <name val="Arial"/>
      <family val="2"/>
    </font>
    <font>
      <sz val="11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3" tint="0.79998168889431442"/>
        <bgColor indexed="64"/>
      </patternFill>
    </fill>
  </fills>
  <borders count="6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32">
    <xf numFmtId="0" fontId="0" fillId="0" borderId="0" xfId="0"/>
    <xf numFmtId="0" fontId="5" fillId="0" borderId="0" xfId="1"/>
    <xf numFmtId="0" fontId="5" fillId="0" borderId="0" xfId="1" applyAlignment="1">
      <alignment horizontal="center" vertical="center"/>
    </xf>
    <xf numFmtId="0" fontId="4" fillId="0" borderId="4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0" fontId="1" fillId="0" borderId="22" xfId="1" applyFont="1" applyBorder="1" applyAlignment="1">
      <alignment horizontal="center" vertical="center"/>
    </xf>
    <xf numFmtId="0" fontId="1" fillId="0" borderId="7" xfId="1" applyFont="1" applyBorder="1" applyAlignment="1">
      <alignment horizontal="left" vertical="center"/>
    </xf>
    <xf numFmtId="0" fontId="8" fillId="0" borderId="21" xfId="1" applyFont="1" applyBorder="1" applyAlignment="1">
      <alignment horizontal="center" vertical="center"/>
    </xf>
    <xf numFmtId="0" fontId="8" fillId="6" borderId="21" xfId="1" applyFont="1" applyFill="1" applyBorder="1" applyAlignment="1" applyProtection="1">
      <alignment horizontal="center" vertical="center"/>
      <protection locked="0"/>
    </xf>
    <xf numFmtId="0" fontId="8" fillId="8" borderId="21" xfId="1" applyFont="1" applyFill="1" applyBorder="1" applyAlignment="1" applyProtection="1">
      <alignment horizontal="center" vertical="center"/>
      <protection locked="0"/>
    </xf>
    <xf numFmtId="0" fontId="8" fillId="9" borderId="21" xfId="1" applyFont="1" applyFill="1" applyBorder="1" applyAlignment="1" applyProtection="1">
      <alignment horizontal="center" vertical="center"/>
      <protection locked="0"/>
    </xf>
    <xf numFmtId="0" fontId="8" fillId="0" borderId="16" xfId="1" applyFont="1" applyBorder="1" applyAlignment="1">
      <alignment horizontal="center" vertical="center"/>
    </xf>
    <xf numFmtId="0" fontId="5" fillId="0" borderId="24" xfId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5" fillId="0" borderId="6" xfId="1" applyBorder="1" applyAlignment="1">
      <alignment horizontal="center" vertical="center"/>
    </xf>
    <xf numFmtId="0" fontId="5" fillId="0" borderId="22" xfId="1" applyBorder="1" applyAlignment="1">
      <alignment horizontal="center" vertical="center"/>
    </xf>
    <xf numFmtId="0" fontId="6" fillId="0" borderId="18" xfId="1" applyFont="1" applyBorder="1" applyAlignment="1">
      <alignment vertical="center"/>
    </xf>
    <xf numFmtId="0" fontId="6" fillId="0" borderId="7" xfId="1" applyFont="1" applyBorder="1" applyAlignment="1">
      <alignment horizontal="left" vertical="center"/>
    </xf>
    <xf numFmtId="0" fontId="8" fillId="0" borderId="5" xfId="1" applyFont="1" applyBorder="1" applyAlignment="1">
      <alignment horizontal="center" vertical="center"/>
    </xf>
    <xf numFmtId="0" fontId="8" fillId="0" borderId="5" xfId="1" applyFont="1" applyBorder="1" applyAlignment="1" applyProtection="1">
      <alignment horizontal="center" vertical="center"/>
      <protection locked="0"/>
    </xf>
    <xf numFmtId="0" fontId="1" fillId="0" borderId="16" xfId="1" applyFont="1" applyBorder="1" applyAlignment="1">
      <alignment horizontal="center" vertical="center" wrapText="1"/>
    </xf>
    <xf numFmtId="0" fontId="9" fillId="11" borderId="23" xfId="1" applyFont="1" applyFill="1" applyBorder="1" applyAlignment="1">
      <alignment horizontal="center" vertical="center" textRotation="90" wrapText="1"/>
    </xf>
    <xf numFmtId="0" fontId="1" fillId="0" borderId="23" xfId="1" applyFont="1" applyBorder="1" applyAlignment="1">
      <alignment horizontal="center" vertical="center" wrapText="1"/>
    </xf>
    <xf numFmtId="0" fontId="7" fillId="0" borderId="0" xfId="1" applyFont="1" applyAlignment="1">
      <alignment vertical="center"/>
    </xf>
    <xf numFmtId="1" fontId="8" fillId="0" borderId="5" xfId="1" applyNumberFormat="1" applyFont="1" applyBorder="1" applyAlignment="1" applyProtection="1">
      <alignment horizontal="center" vertical="center" wrapText="1"/>
      <protection locked="0"/>
    </xf>
    <xf numFmtId="0" fontId="11" fillId="0" borderId="18" xfId="1" applyFont="1" applyBorder="1" applyAlignment="1" applyProtection="1">
      <alignment horizontal="center" vertical="center"/>
      <protection locked="0"/>
    </xf>
    <xf numFmtId="0" fontId="11" fillId="0" borderId="22" xfId="1" applyFont="1" applyBorder="1" applyAlignment="1" applyProtection="1">
      <alignment horizontal="center" vertical="center"/>
      <protection locked="0"/>
    </xf>
    <xf numFmtId="0" fontId="3" fillId="0" borderId="0" xfId="1" applyFont="1" applyAlignment="1">
      <alignment horizontal="center" vertical="center"/>
    </xf>
    <xf numFmtId="0" fontId="8" fillId="0" borderId="0" xfId="1" applyFont="1" applyAlignment="1" applyProtection="1">
      <alignment vertical="center" wrapText="1"/>
      <protection locked="0"/>
    </xf>
    <xf numFmtId="0" fontId="8" fillId="0" borderId="24" xfId="1" applyFont="1" applyBorder="1" applyAlignment="1" applyProtection="1">
      <alignment vertical="center"/>
      <protection locked="0"/>
    </xf>
    <xf numFmtId="0" fontId="8" fillId="0" borderId="0" xfId="1" applyFont="1" applyAlignment="1" applyProtection="1">
      <alignment vertical="center"/>
      <protection locked="0"/>
    </xf>
    <xf numFmtId="0" fontId="8" fillId="0" borderId="6" xfId="1" applyFont="1" applyBorder="1" applyAlignment="1" applyProtection="1">
      <alignment vertical="center"/>
      <protection locked="0"/>
    </xf>
    <xf numFmtId="0" fontId="8" fillId="0" borderId="24" xfId="1" applyFont="1" applyBorder="1" applyAlignment="1" applyProtection="1">
      <alignment vertical="center" wrapText="1"/>
      <protection locked="0"/>
    </xf>
    <xf numFmtId="0" fontId="8" fillId="0" borderId="6" xfId="1" applyFont="1" applyBorder="1" applyAlignment="1" applyProtection="1">
      <alignment vertical="center" wrapText="1"/>
      <protection locked="0"/>
    </xf>
    <xf numFmtId="0" fontId="5" fillId="0" borderId="0" xfId="1" applyAlignment="1">
      <alignment wrapText="1"/>
    </xf>
    <xf numFmtId="0" fontId="1" fillId="0" borderId="0" xfId="1" applyFont="1" applyAlignment="1" applyProtection="1">
      <alignment vertical="center" wrapText="1"/>
      <protection locked="0"/>
    </xf>
    <xf numFmtId="0" fontId="5" fillId="0" borderId="0" xfId="1" applyAlignment="1">
      <alignment vertical="center"/>
    </xf>
    <xf numFmtId="0" fontId="8" fillId="0" borderId="24" xfId="1" applyFont="1" applyBorder="1"/>
    <xf numFmtId="0" fontId="8" fillId="0" borderId="0" xfId="1" applyFont="1"/>
    <xf numFmtId="0" fontId="8" fillId="0" borderId="6" xfId="1" applyFont="1" applyBorder="1"/>
    <xf numFmtId="0" fontId="4" fillId="0" borderId="0" xfId="1" applyFont="1" applyAlignment="1" applyProtection="1">
      <alignment horizontal="left" vertical="center" wrapText="1"/>
      <protection locked="0"/>
    </xf>
    <xf numFmtId="0" fontId="4" fillId="0" borderId="3" xfId="1" applyFont="1" applyBorder="1" applyAlignment="1" applyProtection="1">
      <alignment vertical="center" wrapText="1"/>
      <protection locked="0"/>
    </xf>
    <xf numFmtId="0" fontId="5" fillId="0" borderId="1" xfId="1" applyBorder="1" applyAlignment="1">
      <alignment horizontal="center" vertical="center"/>
    </xf>
    <xf numFmtId="0" fontId="4" fillId="0" borderId="0" xfId="1" applyFont="1"/>
    <xf numFmtId="0" fontId="9" fillId="12" borderId="16" xfId="1" applyFont="1" applyFill="1" applyBorder="1" applyAlignment="1">
      <alignment horizontal="center" vertical="center" textRotation="90" wrapText="1"/>
    </xf>
    <xf numFmtId="0" fontId="1" fillId="12" borderId="16" xfId="1" applyFont="1" applyFill="1" applyBorder="1" applyAlignment="1">
      <alignment horizontal="center" vertical="center" wrapText="1"/>
    </xf>
    <xf numFmtId="0" fontId="1" fillId="12" borderId="7" xfId="1" applyFont="1" applyFill="1" applyBorder="1" applyAlignment="1">
      <alignment horizontal="center" vertical="center" wrapText="1"/>
    </xf>
    <xf numFmtId="0" fontId="1" fillId="12" borderId="18" xfId="1" applyFont="1" applyFill="1" applyBorder="1" applyAlignment="1">
      <alignment horizontal="center" vertical="center" wrapText="1"/>
    </xf>
    <xf numFmtId="0" fontId="1" fillId="12" borderId="22" xfId="1" applyFont="1" applyFill="1" applyBorder="1" applyAlignment="1">
      <alignment horizontal="center" vertical="center" wrapText="1"/>
    </xf>
    <xf numFmtId="0" fontId="1" fillId="3" borderId="16" xfId="1" applyFont="1" applyFill="1" applyBorder="1" applyAlignment="1">
      <alignment horizontal="center" vertical="center" wrapText="1"/>
    </xf>
    <xf numFmtId="49" fontId="1" fillId="0" borderId="16" xfId="1" applyNumberFormat="1" applyFont="1" applyBorder="1" applyAlignment="1" applyProtection="1">
      <alignment horizontal="center" vertical="center"/>
      <protection locked="0"/>
    </xf>
    <xf numFmtId="1" fontId="8" fillId="0" borderId="20" xfId="1" applyNumberFormat="1" applyFont="1" applyBorder="1" applyAlignment="1" applyProtection="1">
      <alignment horizontal="center" vertical="center"/>
      <protection locked="0"/>
    </xf>
    <xf numFmtId="1" fontId="8" fillId="0" borderId="35" xfId="1" applyNumberFormat="1" applyFont="1" applyBorder="1" applyAlignment="1" applyProtection="1">
      <alignment horizontal="center" vertical="center" wrapText="1"/>
      <protection locked="0"/>
    </xf>
    <xf numFmtId="0" fontId="8" fillId="0" borderId="30" xfId="1" applyFont="1" applyBorder="1" applyAlignment="1" applyProtection="1">
      <alignment horizontal="center" vertical="center" wrapText="1"/>
      <protection locked="0"/>
    </xf>
    <xf numFmtId="1" fontId="8" fillId="3" borderId="23" xfId="1" applyNumberFormat="1" applyFont="1" applyFill="1" applyBorder="1" applyAlignment="1">
      <alignment horizontal="center" vertical="center"/>
    </xf>
    <xf numFmtId="0" fontId="8" fillId="0" borderId="21" xfId="1" applyFont="1" applyBorder="1" applyAlignment="1" applyProtection="1">
      <alignment horizontal="center" vertical="center"/>
      <protection locked="0"/>
    </xf>
    <xf numFmtId="49" fontId="8" fillId="0" borderId="23" xfId="1" applyNumberFormat="1" applyFont="1" applyBorder="1" applyAlignment="1" applyProtection="1">
      <alignment horizontal="center" vertical="center"/>
      <protection locked="0"/>
    </xf>
    <xf numFmtId="49" fontId="8" fillId="0" borderId="16" xfId="1" applyNumberFormat="1" applyFont="1" applyBorder="1" applyAlignment="1" applyProtection="1">
      <alignment horizontal="center" vertical="center"/>
      <protection locked="0"/>
    </xf>
    <xf numFmtId="0" fontId="10" fillId="0" borderId="30" xfId="1" applyFont="1" applyBorder="1" applyAlignment="1" applyProtection="1">
      <alignment horizontal="center" vertical="center" wrapText="1"/>
      <protection locked="0"/>
    </xf>
    <xf numFmtId="1" fontId="8" fillId="0" borderId="24" xfId="1" applyNumberFormat="1" applyFont="1" applyBorder="1" applyAlignment="1" applyProtection="1">
      <alignment horizontal="center" vertical="center"/>
      <protection locked="0"/>
    </xf>
    <xf numFmtId="1" fontId="8" fillId="0" borderId="36" xfId="1" applyNumberFormat="1" applyFont="1" applyBorder="1" applyAlignment="1" applyProtection="1">
      <alignment horizontal="center" vertical="center" wrapText="1"/>
      <protection locked="0"/>
    </xf>
    <xf numFmtId="0" fontId="8" fillId="0" borderId="6" xfId="1" applyFont="1" applyBorder="1" applyAlignment="1" applyProtection="1">
      <alignment horizontal="center" vertical="center" wrapText="1"/>
      <protection locked="0"/>
    </xf>
    <xf numFmtId="1" fontId="8" fillId="0" borderId="7" xfId="1" applyNumberFormat="1" applyFont="1" applyBorder="1" applyAlignment="1" applyProtection="1">
      <alignment horizontal="center" vertical="center"/>
      <protection locked="0"/>
    </xf>
    <xf numFmtId="1" fontId="8" fillId="0" borderId="31" xfId="1" applyNumberFormat="1" applyFont="1" applyBorder="1" applyAlignment="1" applyProtection="1">
      <alignment horizontal="center" vertical="center" wrapText="1"/>
      <protection locked="0"/>
    </xf>
    <xf numFmtId="0" fontId="10" fillId="0" borderId="22" xfId="1" applyFont="1" applyBorder="1" applyAlignment="1" applyProtection="1">
      <alignment horizontal="center" vertical="center" wrapText="1"/>
      <protection locked="0"/>
    </xf>
    <xf numFmtId="1" fontId="8" fillId="0" borderId="23" xfId="1" applyNumberFormat="1" applyFont="1" applyBorder="1" applyAlignment="1" applyProtection="1">
      <alignment horizontal="center" vertical="center"/>
      <protection locked="0"/>
    </xf>
    <xf numFmtId="1" fontId="8" fillId="0" borderId="20" xfId="1" applyNumberFormat="1" applyFont="1" applyBorder="1" applyAlignment="1" applyProtection="1">
      <alignment horizontal="center" vertical="center" wrapText="1"/>
      <protection locked="0"/>
    </xf>
    <xf numFmtId="0" fontId="8" fillId="0" borderId="40" xfId="1" applyFont="1" applyBorder="1" applyAlignment="1" applyProtection="1">
      <alignment horizontal="center" vertical="center" wrapText="1"/>
      <protection locked="0"/>
    </xf>
    <xf numFmtId="0" fontId="8" fillId="0" borderId="23" xfId="1" applyFont="1" applyBorder="1" applyAlignment="1" applyProtection="1">
      <alignment horizontal="center" vertical="center" wrapText="1"/>
      <protection locked="0"/>
    </xf>
    <xf numFmtId="1" fontId="8" fillId="3" borderId="30" xfId="1" applyNumberFormat="1" applyFont="1" applyFill="1" applyBorder="1" applyAlignment="1">
      <alignment horizontal="center" vertical="center"/>
    </xf>
    <xf numFmtId="1" fontId="8" fillId="0" borderId="2" xfId="1" applyNumberFormat="1" applyFont="1" applyBorder="1" applyAlignment="1" applyProtection="1">
      <alignment horizontal="center" vertical="center"/>
      <protection locked="0"/>
    </xf>
    <xf numFmtId="1" fontId="8" fillId="0" borderId="37" xfId="1" applyNumberFormat="1" applyFont="1" applyBorder="1" applyAlignment="1" applyProtection="1">
      <alignment horizontal="center" vertical="center" wrapText="1"/>
      <protection locked="0"/>
    </xf>
    <xf numFmtId="0" fontId="8" fillId="0" borderId="1" xfId="1" applyFont="1" applyBorder="1" applyAlignment="1" applyProtection="1">
      <alignment horizontal="center" vertical="center" wrapText="1"/>
      <protection locked="0"/>
    </xf>
    <xf numFmtId="0" fontId="8" fillId="0" borderId="22" xfId="1" applyFont="1" applyBorder="1" applyAlignment="1" applyProtection="1">
      <alignment horizontal="center" vertical="center" wrapText="1"/>
      <protection locked="0"/>
    </xf>
    <xf numFmtId="0" fontId="5" fillId="0" borderId="2" xfId="1" applyBorder="1" applyAlignment="1">
      <alignment horizontal="center" vertical="center"/>
    </xf>
    <xf numFmtId="0" fontId="5" fillId="0" borderId="3" xfId="1" applyBorder="1" applyAlignment="1">
      <alignment horizontal="center" vertical="center"/>
    </xf>
    <xf numFmtId="0" fontId="5" fillId="0" borderId="3" xfId="1" applyBorder="1" applyAlignment="1">
      <alignment horizontal="center" vertical="center" wrapText="1"/>
    </xf>
    <xf numFmtId="0" fontId="5" fillId="0" borderId="0" xfId="1" applyAlignment="1">
      <alignment horizontal="center" vertical="center" wrapText="1"/>
    </xf>
    <xf numFmtId="164" fontId="1" fillId="0" borderId="3" xfId="1" applyNumberFormat="1" applyFont="1" applyBorder="1" applyAlignment="1">
      <alignment horizontal="right" vertical="center" wrapText="1"/>
    </xf>
    <xf numFmtId="164" fontId="1" fillId="0" borderId="3" xfId="1" applyNumberFormat="1" applyFont="1" applyBorder="1" applyAlignment="1">
      <alignment horizontal="right" vertical="center"/>
    </xf>
    <xf numFmtId="1" fontId="8" fillId="3" borderId="27" xfId="1" applyNumberFormat="1" applyFont="1" applyFill="1" applyBorder="1" applyAlignment="1">
      <alignment horizontal="center" vertical="center" wrapText="1"/>
    </xf>
    <xf numFmtId="0" fontId="1" fillId="0" borderId="12" xfId="1" applyFont="1" applyBorder="1" applyAlignment="1">
      <alignment horizontal="center" vertical="center"/>
    </xf>
    <xf numFmtId="0" fontId="8" fillId="6" borderId="16" xfId="1" applyFont="1" applyFill="1" applyBorder="1" applyAlignment="1" applyProtection="1">
      <alignment horizontal="center" vertical="center"/>
      <protection locked="0"/>
    </xf>
    <xf numFmtId="0" fontId="12" fillId="0" borderId="0" xfId="1" applyFont="1"/>
    <xf numFmtId="0" fontId="12" fillId="0" borderId="0" xfId="1" applyFont="1" applyAlignment="1">
      <alignment horizontal="center"/>
    </xf>
    <xf numFmtId="0" fontId="12" fillId="0" borderId="6" xfId="1" applyFont="1" applyBorder="1" applyAlignment="1">
      <alignment horizontal="center" vertical="center"/>
    </xf>
    <xf numFmtId="0" fontId="5" fillId="0" borderId="0" xfId="1" applyAlignment="1">
      <alignment horizontal="center"/>
    </xf>
    <xf numFmtId="49" fontId="1" fillId="0" borderId="39" xfId="1" applyNumberFormat="1" applyFont="1" applyBorder="1" applyAlignment="1" applyProtection="1">
      <alignment horizontal="center" vertical="center"/>
      <protection locked="0"/>
    </xf>
    <xf numFmtId="49" fontId="1" fillId="0" borderId="23" xfId="1" applyNumberFormat="1" applyFont="1" applyBorder="1" applyAlignment="1" applyProtection="1">
      <alignment horizontal="center" vertical="center"/>
      <protection locked="0"/>
    </xf>
    <xf numFmtId="49" fontId="1" fillId="0" borderId="27" xfId="1" applyNumberFormat="1" applyFont="1" applyBorder="1" applyAlignment="1" applyProtection="1">
      <alignment horizontal="center" vertical="center"/>
      <protection locked="0"/>
    </xf>
    <xf numFmtId="49" fontId="1" fillId="0" borderId="41" xfId="1" applyNumberFormat="1" applyFont="1" applyBorder="1" applyAlignment="1" applyProtection="1">
      <alignment horizontal="center" vertical="center"/>
      <protection locked="0"/>
    </xf>
    <xf numFmtId="0" fontId="8" fillId="0" borderId="42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 wrapText="1"/>
    </xf>
    <xf numFmtId="0" fontId="8" fillId="0" borderId="50" xfId="0" applyFont="1" applyBorder="1" applyAlignment="1">
      <alignment horizontal="center" vertical="center" wrapText="1"/>
    </xf>
    <xf numFmtId="0" fontId="8" fillId="0" borderId="53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 wrapText="1"/>
    </xf>
    <xf numFmtId="0" fontId="8" fillId="13" borderId="54" xfId="0" applyFont="1" applyFill="1" applyBorder="1" applyAlignment="1">
      <alignment horizontal="center" vertical="center" wrapText="1"/>
    </xf>
    <xf numFmtId="0" fontId="8" fillId="13" borderId="45" xfId="0" applyFont="1" applyFill="1" applyBorder="1" applyAlignment="1">
      <alignment horizontal="center" vertical="center" wrapText="1"/>
    </xf>
    <xf numFmtId="0" fontId="8" fillId="0" borderId="54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49" fontId="8" fillId="14" borderId="44" xfId="0" applyNumberFormat="1" applyFont="1" applyFill="1" applyBorder="1" applyAlignment="1" applyProtection="1">
      <alignment horizontal="left" vertical="center" wrapText="1"/>
      <protection locked="0"/>
    </xf>
    <xf numFmtId="49" fontId="8" fillId="14" borderId="45" xfId="0" applyNumberFormat="1" applyFont="1" applyFill="1" applyBorder="1" applyAlignment="1" applyProtection="1">
      <alignment horizontal="left" vertical="center" wrapText="1"/>
      <protection locked="0"/>
    </xf>
    <xf numFmtId="49" fontId="13" fillId="7" borderId="42" xfId="0" applyNumberFormat="1" applyFont="1" applyFill="1" applyBorder="1" applyAlignment="1" applyProtection="1">
      <alignment horizontal="center" vertical="center"/>
      <protection locked="0"/>
    </xf>
    <xf numFmtId="1" fontId="8" fillId="0" borderId="44" xfId="0" applyNumberFormat="1" applyFont="1" applyBorder="1" applyAlignment="1" applyProtection="1">
      <alignment horizontal="center" vertical="center"/>
      <protection locked="0"/>
    </xf>
    <xf numFmtId="1" fontId="8" fillId="0" borderId="0" xfId="0" applyNumberFormat="1" applyFont="1" applyAlignment="1" applyProtection="1">
      <alignment horizontal="center" vertical="center"/>
      <protection locked="0"/>
    </xf>
    <xf numFmtId="49" fontId="13" fillId="4" borderId="46" xfId="0" applyNumberFormat="1" applyFont="1" applyFill="1" applyBorder="1" applyAlignment="1" applyProtection="1">
      <alignment horizontal="center" vertical="center"/>
      <protection locked="0"/>
    </xf>
    <xf numFmtId="1" fontId="10" fillId="0" borderId="48" xfId="0" applyNumberFormat="1" applyFont="1" applyBorder="1" applyAlignment="1" applyProtection="1">
      <alignment horizontal="center" vertical="center"/>
      <protection locked="0"/>
    </xf>
    <xf numFmtId="1" fontId="8" fillId="0" borderId="48" xfId="0" applyNumberFormat="1" applyFont="1" applyBorder="1" applyAlignment="1" applyProtection="1">
      <alignment horizontal="center" vertical="center"/>
      <protection locked="0"/>
    </xf>
    <xf numFmtId="49" fontId="13" fillId="7" borderId="46" xfId="0" applyNumberFormat="1" applyFont="1" applyFill="1" applyBorder="1" applyAlignment="1" applyProtection="1">
      <alignment horizontal="center" vertical="center"/>
      <protection locked="0"/>
    </xf>
    <xf numFmtId="49" fontId="13" fillId="4" borderId="42" xfId="0" applyNumberFormat="1" applyFont="1" applyFill="1" applyBorder="1" applyAlignment="1" applyProtection="1">
      <alignment horizontal="center" vertical="center"/>
      <protection locked="0"/>
    </xf>
    <xf numFmtId="1" fontId="8" fillId="4" borderId="44" xfId="0" applyNumberFormat="1" applyFont="1" applyFill="1" applyBorder="1" applyAlignment="1" applyProtection="1">
      <alignment horizontal="center" vertical="center"/>
      <protection locked="0"/>
    </xf>
    <xf numFmtId="1" fontId="8" fillId="4" borderId="48" xfId="0" applyNumberFormat="1" applyFont="1" applyFill="1" applyBorder="1" applyAlignment="1" applyProtection="1">
      <alignment horizontal="center" vertical="center"/>
      <protection locked="0"/>
    </xf>
    <xf numFmtId="49" fontId="8" fillId="14" borderId="43" xfId="0" applyNumberFormat="1" applyFont="1" applyFill="1" applyBorder="1" applyAlignment="1" applyProtection="1">
      <alignment horizontal="left" vertical="center"/>
      <protection locked="0"/>
    </xf>
    <xf numFmtId="49" fontId="8" fillId="14" borderId="44" xfId="0" applyNumberFormat="1" applyFont="1" applyFill="1" applyBorder="1" applyAlignment="1" applyProtection="1">
      <alignment horizontal="left" vertical="center"/>
      <protection locked="0"/>
    </xf>
    <xf numFmtId="49" fontId="8" fillId="14" borderId="45" xfId="0" applyNumberFormat="1" applyFont="1" applyFill="1" applyBorder="1" applyAlignment="1" applyProtection="1">
      <alignment horizontal="left" vertical="center"/>
      <protection locked="0"/>
    </xf>
    <xf numFmtId="49" fontId="13" fillId="4" borderId="21" xfId="0" applyNumberFormat="1" applyFont="1" applyFill="1" applyBorder="1" applyAlignment="1" applyProtection="1">
      <alignment horizontal="center" vertical="center"/>
      <protection locked="0"/>
    </xf>
    <xf numFmtId="1" fontId="8" fillId="0" borderId="45" xfId="0" applyNumberFormat="1" applyFont="1" applyBorder="1" applyAlignment="1" applyProtection="1">
      <alignment horizontal="center" vertical="center"/>
      <protection locked="0"/>
    </xf>
    <xf numFmtId="0" fontId="8" fillId="0" borderId="46" xfId="1" applyFont="1" applyBorder="1" applyAlignment="1" applyProtection="1">
      <alignment horizontal="center" vertical="center"/>
      <protection locked="0"/>
    </xf>
    <xf numFmtId="49" fontId="13" fillId="7" borderId="46" xfId="0" applyNumberFormat="1" applyFont="1" applyFill="1" applyBorder="1" applyAlignment="1" applyProtection="1">
      <alignment horizontal="center" vertical="center" wrapText="1"/>
      <protection locked="0"/>
    </xf>
    <xf numFmtId="1" fontId="8" fillId="0" borderId="46" xfId="0" applyNumberFormat="1" applyFont="1" applyBorder="1" applyAlignment="1" applyProtection="1">
      <alignment horizontal="center" vertical="center"/>
      <protection locked="0"/>
    </xf>
    <xf numFmtId="0" fontId="8" fillId="0" borderId="17" xfId="1" applyFont="1" applyBorder="1" applyAlignment="1" applyProtection="1">
      <alignment horizontal="center" vertical="center"/>
      <protection locked="0"/>
    </xf>
    <xf numFmtId="1" fontId="8" fillId="0" borderId="58" xfId="0" applyNumberFormat="1" applyFont="1" applyBorder="1" applyAlignment="1" applyProtection="1">
      <alignment horizontal="center" vertical="center"/>
      <protection locked="0"/>
    </xf>
    <xf numFmtId="0" fontId="8" fillId="0" borderId="4" xfId="1" applyFont="1" applyBorder="1" applyAlignment="1" applyProtection="1">
      <alignment horizontal="center" vertical="center"/>
      <protection locked="0"/>
    </xf>
    <xf numFmtId="0" fontId="8" fillId="0" borderId="25" xfId="0" applyFont="1" applyBorder="1" applyAlignment="1">
      <alignment horizontal="center" vertical="center"/>
    </xf>
    <xf numFmtId="49" fontId="13" fillId="4" borderId="25" xfId="0" applyNumberFormat="1" applyFont="1" applyFill="1" applyBorder="1" applyAlignment="1" applyProtection="1">
      <alignment horizontal="center" vertical="center"/>
      <protection locked="0"/>
    </xf>
    <xf numFmtId="1" fontId="8" fillId="0" borderId="25" xfId="0" applyNumberFormat="1" applyFont="1" applyBorder="1" applyAlignment="1" applyProtection="1">
      <alignment horizontal="center" vertical="center"/>
      <protection locked="0"/>
    </xf>
    <xf numFmtId="164" fontId="1" fillId="0" borderId="25" xfId="1" applyNumberFormat="1" applyFont="1" applyBorder="1" applyAlignment="1">
      <alignment horizontal="right" vertical="center" wrapText="1"/>
    </xf>
    <xf numFmtId="0" fontId="8" fillId="0" borderId="4" xfId="1" applyFont="1" applyBorder="1" applyAlignment="1">
      <alignment horizontal="center" vertical="center" wrapText="1"/>
    </xf>
    <xf numFmtId="0" fontId="8" fillId="0" borderId="25" xfId="1" applyFont="1" applyBorder="1" applyAlignment="1">
      <alignment horizontal="center" vertical="center" wrapText="1"/>
    </xf>
    <xf numFmtId="0" fontId="8" fillId="0" borderId="29" xfId="1" applyFont="1" applyBorder="1" applyAlignment="1">
      <alignment horizontal="center" vertical="center" wrapText="1"/>
    </xf>
    <xf numFmtId="0" fontId="8" fillId="4" borderId="4" xfId="1" applyFont="1" applyFill="1" applyBorder="1" applyAlignment="1" applyProtection="1">
      <alignment horizontal="center" vertical="center" wrapText="1"/>
      <protection locked="0"/>
    </xf>
    <xf numFmtId="0" fontId="8" fillId="4" borderId="25" xfId="1" applyFont="1" applyFill="1" applyBorder="1" applyAlignment="1" applyProtection="1">
      <alignment horizontal="center" vertical="center" wrapText="1"/>
      <protection locked="0"/>
    </xf>
    <xf numFmtId="0" fontId="8" fillId="4" borderId="29" xfId="1" applyFont="1" applyFill="1" applyBorder="1" applyAlignment="1" applyProtection="1">
      <alignment horizontal="center" vertical="center" wrapText="1"/>
      <protection locked="0"/>
    </xf>
    <xf numFmtId="49" fontId="8" fillId="0" borderId="2" xfId="1" applyNumberFormat="1" applyFont="1" applyBorder="1" applyAlignment="1" applyProtection="1">
      <alignment horizontal="center" vertical="center" wrapText="1"/>
      <protection locked="0"/>
    </xf>
    <xf numFmtId="49" fontId="8" fillId="0" borderId="3" xfId="1" applyNumberFormat="1" applyFont="1" applyBorder="1" applyAlignment="1" applyProtection="1">
      <alignment horizontal="center" vertical="center" wrapText="1"/>
      <protection locked="0"/>
    </xf>
    <xf numFmtId="49" fontId="8" fillId="0" borderId="1" xfId="1" applyNumberFormat="1" applyFont="1" applyBorder="1" applyAlignment="1" applyProtection="1">
      <alignment horizontal="center" vertical="center" wrapText="1"/>
      <protection locked="0"/>
    </xf>
    <xf numFmtId="0" fontId="1" fillId="0" borderId="11" xfId="1" applyFont="1" applyBorder="1" applyAlignment="1">
      <alignment horizontal="center" vertical="center"/>
    </xf>
    <xf numFmtId="0" fontId="1" fillId="0" borderId="26" xfId="1" applyFont="1" applyBorder="1" applyAlignment="1">
      <alignment horizontal="center" vertical="center"/>
    </xf>
    <xf numFmtId="0" fontId="1" fillId="0" borderId="28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7" fillId="0" borderId="20" xfId="1" applyFont="1" applyBorder="1" applyAlignment="1">
      <alignment horizontal="center" vertical="center"/>
    </xf>
    <xf numFmtId="0" fontId="7" fillId="0" borderId="30" xfId="1" applyFont="1" applyBorder="1" applyAlignment="1">
      <alignment horizontal="center" vertical="center"/>
    </xf>
    <xf numFmtId="0" fontId="7" fillId="0" borderId="2" xfId="1" applyFont="1" applyBorder="1" applyAlignment="1">
      <alignment horizontal="left" vertical="center"/>
    </xf>
    <xf numFmtId="0" fontId="7" fillId="0" borderId="3" xfId="1" applyFont="1" applyBorder="1" applyAlignment="1">
      <alignment horizontal="left" vertical="center"/>
    </xf>
    <xf numFmtId="0" fontId="1" fillId="0" borderId="38" xfId="1" applyFont="1" applyBorder="1" applyAlignment="1">
      <alignment horizontal="center" vertical="center"/>
    </xf>
    <xf numFmtId="14" fontId="8" fillId="0" borderId="4" xfId="1" applyNumberFormat="1" applyFont="1" applyBorder="1" applyAlignment="1" applyProtection="1">
      <alignment horizontal="center" vertical="center" wrapText="1"/>
      <protection locked="0"/>
    </xf>
    <xf numFmtId="14" fontId="8" fillId="0" borderId="25" xfId="1" applyNumberFormat="1" applyFont="1" applyBorder="1" applyAlignment="1" applyProtection="1">
      <alignment horizontal="center" vertical="center" wrapText="1"/>
      <protection locked="0"/>
    </xf>
    <xf numFmtId="14" fontId="8" fillId="0" borderId="29" xfId="1" applyNumberFormat="1" applyFont="1" applyBorder="1" applyAlignment="1" applyProtection="1">
      <alignment horizontal="center" vertical="center" wrapText="1"/>
      <protection locked="0"/>
    </xf>
    <xf numFmtId="0" fontId="11" fillId="0" borderId="19" xfId="1" applyFont="1" applyBorder="1" applyAlignment="1" applyProtection="1">
      <alignment horizontal="center" vertical="center"/>
      <protection locked="0"/>
    </xf>
    <xf numFmtId="0" fontId="1" fillId="9" borderId="16" xfId="1" applyFont="1" applyFill="1" applyBorder="1" applyAlignment="1">
      <alignment horizontal="center" vertical="center" textRotation="90"/>
    </xf>
    <xf numFmtId="0" fontId="1" fillId="9" borderId="17" xfId="1" applyFont="1" applyFill="1" applyBorder="1" applyAlignment="1">
      <alignment horizontal="center" vertical="center" textRotation="90"/>
    </xf>
    <xf numFmtId="0" fontId="1" fillId="9" borderId="27" xfId="1" applyFont="1" applyFill="1" applyBorder="1" applyAlignment="1">
      <alignment horizontal="center" vertical="center" textRotation="90"/>
    </xf>
    <xf numFmtId="0" fontId="8" fillId="0" borderId="10" xfId="1" applyFont="1" applyBorder="1" applyAlignment="1" applyProtection="1">
      <alignment horizontal="left" vertical="center" wrapText="1"/>
      <protection locked="0"/>
    </xf>
    <xf numFmtId="0" fontId="8" fillId="0" borderId="9" xfId="1" applyFont="1" applyBorder="1" applyAlignment="1" applyProtection="1">
      <alignment horizontal="left" vertical="center" wrapText="1"/>
      <protection locked="0"/>
    </xf>
    <xf numFmtId="0" fontId="8" fillId="0" borderId="8" xfId="1" applyFont="1" applyBorder="1" applyAlignment="1" applyProtection="1">
      <alignment horizontal="left" vertical="center" wrapText="1"/>
      <protection locked="0"/>
    </xf>
    <xf numFmtId="0" fontId="1" fillId="7" borderId="16" xfId="1" applyFont="1" applyFill="1" applyBorder="1" applyAlignment="1">
      <alignment horizontal="center" vertical="center" textRotation="90" wrapText="1"/>
    </xf>
    <xf numFmtId="0" fontId="1" fillId="7" borderId="17" xfId="1" applyFont="1" applyFill="1" applyBorder="1" applyAlignment="1">
      <alignment horizontal="center" vertical="center" textRotation="90" wrapText="1"/>
    </xf>
    <xf numFmtId="0" fontId="1" fillId="7" borderId="27" xfId="1" applyFont="1" applyFill="1" applyBorder="1" applyAlignment="1">
      <alignment horizontal="center" vertical="center" textRotation="90" wrapText="1"/>
    </xf>
    <xf numFmtId="0" fontId="8" fillId="0" borderId="10" xfId="1" applyFont="1" applyBorder="1" applyAlignment="1">
      <alignment horizontal="left" vertical="center" wrapText="1"/>
    </xf>
    <xf numFmtId="0" fontId="8" fillId="0" borderId="8" xfId="1" applyFont="1" applyBorder="1" applyAlignment="1">
      <alignment horizontal="left" vertical="center" wrapText="1"/>
    </xf>
    <xf numFmtId="0" fontId="1" fillId="10" borderId="16" xfId="1" applyFont="1" applyFill="1" applyBorder="1" applyAlignment="1">
      <alignment horizontal="center" vertical="center" textRotation="90"/>
    </xf>
    <xf numFmtId="0" fontId="1" fillId="10" borderId="17" xfId="1" applyFont="1" applyFill="1" applyBorder="1" applyAlignment="1">
      <alignment horizontal="center" vertical="center" textRotation="90"/>
    </xf>
    <xf numFmtId="0" fontId="1" fillId="10" borderId="27" xfId="1" applyFont="1" applyFill="1" applyBorder="1" applyAlignment="1">
      <alignment horizontal="center" vertical="center" textRotation="90"/>
    </xf>
    <xf numFmtId="0" fontId="8" fillId="0" borderId="10" xfId="1" applyFont="1" applyBorder="1" applyAlignment="1" applyProtection="1">
      <alignment horizontal="left" vertical="center"/>
      <protection locked="0"/>
    </xf>
    <xf numFmtId="0" fontId="8" fillId="0" borderId="9" xfId="1" applyFont="1" applyBorder="1" applyAlignment="1" applyProtection="1">
      <alignment horizontal="left" vertical="center"/>
      <protection locked="0"/>
    </xf>
    <xf numFmtId="0" fontId="8" fillId="0" borderId="8" xfId="1" applyFont="1" applyBorder="1" applyAlignment="1" applyProtection="1">
      <alignment horizontal="left" vertical="center"/>
      <protection locked="0"/>
    </xf>
    <xf numFmtId="0" fontId="8" fillId="0" borderId="15" xfId="1" applyFont="1" applyBorder="1" applyAlignment="1" applyProtection="1">
      <alignment horizontal="left" vertical="center"/>
      <protection locked="0"/>
    </xf>
    <xf numFmtId="0" fontId="8" fillId="0" borderId="14" xfId="1" applyFont="1" applyBorder="1" applyAlignment="1" applyProtection="1">
      <alignment horizontal="left" vertical="center"/>
      <protection locked="0"/>
    </xf>
    <xf numFmtId="0" fontId="8" fillId="0" borderId="13" xfId="1" applyFont="1" applyBorder="1" applyAlignment="1" applyProtection="1">
      <alignment horizontal="left" vertical="center"/>
      <protection locked="0"/>
    </xf>
    <xf numFmtId="0" fontId="8" fillId="0" borderId="15" xfId="1" applyFont="1" applyBorder="1" applyAlignment="1" applyProtection="1">
      <alignment horizontal="left" vertical="center" wrapText="1"/>
      <protection locked="0"/>
    </xf>
    <xf numFmtId="0" fontId="8" fillId="0" borderId="13" xfId="1" applyFont="1" applyBorder="1" applyAlignment="1" applyProtection="1">
      <alignment horizontal="left" vertical="center" wrapText="1"/>
      <protection locked="0"/>
    </xf>
    <xf numFmtId="0" fontId="8" fillId="0" borderId="14" xfId="1" applyFont="1" applyBorder="1" applyAlignment="1" applyProtection="1">
      <alignment horizontal="left" vertical="center" wrapText="1"/>
      <protection locked="0"/>
    </xf>
    <xf numFmtId="0" fontId="8" fillId="0" borderId="34" xfId="1" applyFont="1" applyBorder="1" applyAlignment="1">
      <alignment horizontal="left" wrapText="1"/>
    </xf>
    <xf numFmtId="0" fontId="8" fillId="0" borderId="33" xfId="1" applyFont="1" applyBorder="1" applyAlignment="1">
      <alignment horizontal="left" wrapText="1"/>
    </xf>
    <xf numFmtId="0" fontId="8" fillId="0" borderId="32" xfId="1" applyFont="1" applyBorder="1" applyAlignment="1">
      <alignment horizontal="left" wrapText="1"/>
    </xf>
    <xf numFmtId="0" fontId="8" fillId="0" borderId="15" xfId="1" applyFont="1" applyBorder="1" applyAlignment="1">
      <alignment horizontal="left" vertical="center"/>
    </xf>
    <xf numFmtId="0" fontId="8" fillId="0" borderId="13" xfId="1" applyFont="1" applyBorder="1" applyAlignment="1">
      <alignment horizontal="left" vertical="center"/>
    </xf>
    <xf numFmtId="0" fontId="8" fillId="0" borderId="34" xfId="1" applyFont="1" applyBorder="1" applyAlignment="1" applyProtection="1">
      <alignment horizontal="left" vertical="center" wrapText="1"/>
      <protection locked="0"/>
    </xf>
    <xf numFmtId="0" fontId="8" fillId="0" borderId="33" xfId="1" applyFont="1" applyBorder="1" applyAlignment="1" applyProtection="1">
      <alignment horizontal="left" vertical="center" wrapText="1"/>
      <protection locked="0"/>
    </xf>
    <xf numFmtId="0" fontId="8" fillId="0" borderId="32" xfId="1" applyFont="1" applyBorder="1" applyAlignment="1" applyProtection="1">
      <alignment horizontal="left" vertical="center" wrapText="1"/>
      <protection locked="0"/>
    </xf>
    <xf numFmtId="0" fontId="8" fillId="0" borderId="15" xfId="1" applyFont="1" applyBorder="1" applyAlignment="1">
      <alignment horizontal="left" vertical="center" wrapText="1"/>
    </xf>
    <xf numFmtId="0" fontId="8" fillId="0" borderId="13" xfId="1" applyFont="1" applyBorder="1" applyAlignment="1">
      <alignment horizontal="left" vertical="center" wrapText="1"/>
    </xf>
    <xf numFmtId="0" fontId="1" fillId="8" borderId="16" xfId="1" applyFont="1" applyFill="1" applyBorder="1" applyAlignment="1">
      <alignment horizontal="center" vertical="center" textRotation="90"/>
    </xf>
    <xf numFmtId="0" fontId="1" fillId="8" borderId="17" xfId="1" applyFont="1" applyFill="1" applyBorder="1" applyAlignment="1">
      <alignment horizontal="center" vertical="center" textRotation="90"/>
    </xf>
    <xf numFmtId="0" fontId="1" fillId="8" borderId="27" xfId="1" applyFont="1" applyFill="1" applyBorder="1" applyAlignment="1">
      <alignment horizontal="center" vertical="center" textRotation="90"/>
    </xf>
    <xf numFmtId="0" fontId="1" fillId="5" borderId="16" xfId="1" applyFont="1" applyFill="1" applyBorder="1" applyAlignment="1" applyProtection="1">
      <alignment horizontal="center" vertical="center" textRotation="90" wrapText="1"/>
      <protection locked="0"/>
    </xf>
    <xf numFmtId="0" fontId="1" fillId="5" borderId="17" xfId="1" applyFont="1" applyFill="1" applyBorder="1" applyAlignment="1" applyProtection="1">
      <alignment horizontal="center" vertical="center" textRotation="90" wrapText="1"/>
      <protection locked="0"/>
    </xf>
    <xf numFmtId="0" fontId="1" fillId="5" borderId="27" xfId="1" applyFont="1" applyFill="1" applyBorder="1" applyAlignment="1" applyProtection="1">
      <alignment horizontal="center" vertical="center" textRotation="90" wrapText="1"/>
      <protection locked="0"/>
    </xf>
    <xf numFmtId="0" fontId="8" fillId="0" borderId="15" xfId="1" applyFont="1" applyBorder="1" applyAlignment="1" applyProtection="1">
      <alignment horizontal="center" vertical="center" wrapText="1"/>
      <protection locked="0"/>
    </xf>
    <xf numFmtId="0" fontId="8" fillId="0" borderId="14" xfId="1" applyFont="1" applyBorder="1" applyAlignment="1" applyProtection="1">
      <alignment horizontal="center" vertical="center" wrapText="1"/>
      <protection locked="0"/>
    </xf>
    <xf numFmtId="0" fontId="8" fillId="0" borderId="13" xfId="1" applyFont="1" applyBorder="1" applyAlignment="1" applyProtection="1">
      <alignment horizontal="center" vertical="center" wrapText="1"/>
      <protection locked="0"/>
    </xf>
    <xf numFmtId="0" fontId="8" fillId="0" borderId="34" xfId="1" applyFont="1" applyBorder="1" applyAlignment="1">
      <alignment horizontal="left"/>
    </xf>
    <xf numFmtId="0" fontId="8" fillId="0" borderId="33" xfId="1" applyFont="1" applyBorder="1" applyAlignment="1">
      <alignment horizontal="left"/>
    </xf>
    <xf numFmtId="0" fontId="8" fillId="0" borderId="32" xfId="1" applyFont="1" applyBorder="1" applyAlignment="1">
      <alignment horizontal="left"/>
    </xf>
    <xf numFmtId="0" fontId="1" fillId="6" borderId="16" xfId="1" applyFont="1" applyFill="1" applyBorder="1" applyAlignment="1" applyProtection="1">
      <alignment horizontal="center" vertical="center" textRotation="90" wrapText="1"/>
      <protection locked="0"/>
    </xf>
    <xf numFmtId="0" fontId="1" fillId="6" borderId="17" xfId="1" applyFont="1" applyFill="1" applyBorder="1" applyAlignment="1" applyProtection="1">
      <alignment horizontal="center" vertical="center" textRotation="90" wrapText="1"/>
      <protection locked="0"/>
    </xf>
    <xf numFmtId="0" fontId="1" fillId="6" borderId="27" xfId="1" applyFont="1" applyFill="1" applyBorder="1" applyAlignment="1" applyProtection="1">
      <alignment horizontal="center" vertical="center" textRotation="90" wrapText="1"/>
      <protection locked="0"/>
    </xf>
    <xf numFmtId="0" fontId="1" fillId="11" borderId="16" xfId="1" applyFont="1" applyFill="1" applyBorder="1" applyAlignment="1" applyProtection="1">
      <alignment horizontal="center" vertical="center" textRotation="90"/>
      <protection locked="0"/>
    </xf>
    <xf numFmtId="0" fontId="1" fillId="11" borderId="17" xfId="1" applyFont="1" applyFill="1" applyBorder="1" applyAlignment="1" applyProtection="1">
      <alignment horizontal="center" vertical="center" textRotation="90"/>
      <protection locked="0"/>
    </xf>
    <xf numFmtId="0" fontId="1" fillId="11" borderId="27" xfId="1" applyFont="1" applyFill="1" applyBorder="1" applyAlignment="1" applyProtection="1">
      <alignment horizontal="center" vertical="center" textRotation="90"/>
      <protection locked="0"/>
    </xf>
    <xf numFmtId="0" fontId="1" fillId="0" borderId="20" xfId="1" applyFont="1" applyBorder="1" applyAlignment="1">
      <alignment horizontal="center" vertical="center" wrapText="1"/>
    </xf>
    <xf numFmtId="0" fontId="1" fillId="0" borderId="19" xfId="1" applyFont="1" applyBorder="1" applyAlignment="1">
      <alignment horizontal="center" vertical="center" wrapText="1"/>
    </xf>
    <xf numFmtId="0" fontId="1" fillId="0" borderId="30" xfId="1" applyFont="1" applyBorder="1" applyAlignment="1">
      <alignment horizontal="center" vertical="center" wrapText="1"/>
    </xf>
    <xf numFmtId="0" fontId="1" fillId="0" borderId="7" xfId="1" applyFont="1" applyBorder="1" applyAlignment="1">
      <alignment horizontal="center" vertical="center" wrapText="1"/>
    </xf>
    <xf numFmtId="0" fontId="1" fillId="0" borderId="22" xfId="1" applyFont="1" applyBorder="1" applyAlignment="1">
      <alignment horizontal="center" vertical="center" wrapText="1"/>
    </xf>
    <xf numFmtId="0" fontId="1" fillId="0" borderId="24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1" fillId="3" borderId="7" xfId="1" applyFont="1" applyFill="1" applyBorder="1" applyAlignment="1">
      <alignment horizontal="center" vertical="center" wrapText="1"/>
    </xf>
    <xf numFmtId="0" fontId="1" fillId="3" borderId="18" xfId="1" applyFont="1" applyFill="1" applyBorder="1" applyAlignment="1">
      <alignment horizontal="center" vertical="center" wrapText="1"/>
    </xf>
    <xf numFmtId="0" fontId="1" fillId="3" borderId="22" xfId="1" applyFont="1" applyFill="1" applyBorder="1" applyAlignment="1">
      <alignment horizontal="center" vertical="center" wrapText="1"/>
    </xf>
    <xf numFmtId="0" fontId="8" fillId="14" borderId="47" xfId="0" applyFont="1" applyFill="1" applyBorder="1" applyAlignment="1">
      <alignment horizontal="left" vertical="center"/>
    </xf>
    <xf numFmtId="0" fontId="8" fillId="14" borderId="48" xfId="0" applyFont="1" applyFill="1" applyBorder="1" applyAlignment="1">
      <alignment horizontal="left" vertical="center"/>
    </xf>
    <xf numFmtId="0" fontId="8" fillId="14" borderId="49" xfId="0" applyFont="1" applyFill="1" applyBorder="1" applyAlignment="1">
      <alignment horizontal="left" vertical="center"/>
    </xf>
    <xf numFmtId="49" fontId="13" fillId="4" borderId="55" xfId="0" applyNumberFormat="1" applyFont="1" applyFill="1" applyBorder="1" applyAlignment="1" applyProtection="1">
      <alignment horizontal="left" vertical="center" wrapText="1"/>
      <protection locked="0"/>
    </xf>
    <xf numFmtId="49" fontId="13" fillId="4" borderId="56" xfId="0" applyNumberFormat="1" applyFont="1" applyFill="1" applyBorder="1" applyAlignment="1" applyProtection="1">
      <alignment horizontal="left" vertical="center" wrapText="1"/>
      <protection locked="0"/>
    </xf>
    <xf numFmtId="49" fontId="13" fillId="4" borderId="57" xfId="0" applyNumberFormat="1" applyFont="1" applyFill="1" applyBorder="1" applyAlignment="1" applyProtection="1">
      <alignment horizontal="left" vertical="center" wrapText="1"/>
      <protection locked="0"/>
    </xf>
    <xf numFmtId="0" fontId="10" fillId="0" borderId="34" xfId="1" applyFont="1" applyBorder="1" applyAlignment="1" applyProtection="1">
      <alignment horizontal="left" vertical="center" wrapText="1"/>
      <protection locked="0"/>
    </xf>
    <xf numFmtId="0" fontId="10" fillId="0" borderId="33" xfId="1" applyFont="1" applyBorder="1" applyAlignment="1" applyProtection="1">
      <alignment horizontal="left" vertical="center" wrapText="1"/>
      <protection locked="0"/>
    </xf>
    <xf numFmtId="0" fontId="10" fillId="0" borderId="32" xfId="1" applyFont="1" applyBorder="1" applyAlignment="1" applyProtection="1">
      <alignment horizontal="left" vertical="center" wrapText="1"/>
      <protection locked="0"/>
    </xf>
    <xf numFmtId="49" fontId="8" fillId="4" borderId="11" xfId="1" applyNumberFormat="1" applyFont="1" applyFill="1" applyBorder="1" applyAlignment="1" applyProtection="1">
      <alignment horizontal="left" vertical="center" wrapText="1"/>
      <protection locked="0"/>
    </xf>
    <xf numFmtId="49" fontId="8" fillId="4" borderId="26" xfId="1" applyNumberFormat="1" applyFont="1" applyFill="1" applyBorder="1" applyAlignment="1" applyProtection="1">
      <alignment horizontal="left" vertical="center" wrapText="1"/>
      <protection locked="0"/>
    </xf>
    <xf numFmtId="49" fontId="8" fillId="4" borderId="28" xfId="1" applyNumberFormat="1" applyFont="1" applyFill="1" applyBorder="1" applyAlignment="1" applyProtection="1">
      <alignment horizontal="left" vertical="center" wrapText="1"/>
      <protection locked="0"/>
    </xf>
    <xf numFmtId="49" fontId="8" fillId="0" borderId="11" xfId="1" applyNumberFormat="1" applyFont="1" applyBorder="1" applyAlignment="1" applyProtection="1">
      <alignment horizontal="left" vertical="center" wrapText="1"/>
      <protection locked="0"/>
    </xf>
    <xf numFmtId="49" fontId="8" fillId="0" borderId="26" xfId="1" applyNumberFormat="1" applyFont="1" applyBorder="1" applyAlignment="1" applyProtection="1">
      <alignment horizontal="left" vertical="center" wrapText="1"/>
      <protection locked="0"/>
    </xf>
    <xf numFmtId="49" fontId="8" fillId="0" borderId="28" xfId="1" applyNumberFormat="1" applyFont="1" applyBorder="1" applyAlignment="1" applyProtection="1">
      <alignment horizontal="left" vertical="center" wrapText="1"/>
      <protection locked="0"/>
    </xf>
    <xf numFmtId="49" fontId="8" fillId="14" borderId="11" xfId="1" applyNumberFormat="1" applyFont="1" applyFill="1" applyBorder="1" applyAlignment="1" applyProtection="1">
      <alignment horizontal="left" vertical="center" wrapText="1"/>
      <protection locked="0"/>
    </xf>
    <xf numFmtId="49" fontId="8" fillId="14" borderId="26" xfId="1" applyNumberFormat="1" applyFont="1" applyFill="1" applyBorder="1" applyAlignment="1" applyProtection="1">
      <alignment horizontal="left" vertical="center" wrapText="1"/>
      <protection locked="0"/>
    </xf>
    <xf numFmtId="49" fontId="8" fillId="14" borderId="28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43" xfId="0" applyFont="1" applyBorder="1" applyAlignment="1">
      <alignment horizontal="left" vertical="center" wrapText="1"/>
    </xf>
    <xf numFmtId="0" fontId="13" fillId="0" borderId="44" xfId="0" applyFont="1" applyBorder="1" applyAlignment="1">
      <alignment horizontal="left" vertical="center" wrapText="1"/>
    </xf>
    <xf numFmtId="0" fontId="13" fillId="0" borderId="4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25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 wrapText="1"/>
    </xf>
    <xf numFmtId="49" fontId="8" fillId="4" borderId="20" xfId="1" applyNumberFormat="1" applyFont="1" applyFill="1" applyBorder="1" applyAlignment="1" applyProtection="1">
      <alignment horizontal="left" vertical="center" wrapText="1"/>
      <protection locked="0"/>
    </xf>
    <xf numFmtId="49" fontId="8" fillId="4" borderId="19" xfId="1" applyNumberFormat="1" applyFont="1" applyFill="1" applyBorder="1" applyAlignment="1" applyProtection="1">
      <alignment horizontal="left" vertical="center" wrapText="1"/>
      <protection locked="0"/>
    </xf>
    <xf numFmtId="49" fontId="8" fillId="4" borderId="30" xfId="1" applyNumberFormat="1" applyFont="1" applyFill="1" applyBorder="1" applyAlignment="1" applyProtection="1">
      <alignment horizontal="left" vertical="center" wrapText="1"/>
      <protection locked="0"/>
    </xf>
    <xf numFmtId="49" fontId="8" fillId="0" borderId="20" xfId="1" applyNumberFormat="1" applyFont="1" applyBorder="1" applyAlignment="1" applyProtection="1">
      <alignment horizontal="left" vertical="center" wrapText="1"/>
      <protection locked="0"/>
    </xf>
    <xf numFmtId="49" fontId="8" fillId="0" borderId="19" xfId="1" applyNumberFormat="1" applyFont="1" applyBorder="1" applyAlignment="1" applyProtection="1">
      <alignment horizontal="left" vertical="center" wrapText="1"/>
      <protection locked="0"/>
    </xf>
    <xf numFmtId="49" fontId="8" fillId="0" borderId="30" xfId="1" applyNumberFormat="1" applyFont="1" applyBorder="1" applyAlignment="1" applyProtection="1">
      <alignment horizontal="left" vertical="center" wrapText="1"/>
      <protection locked="0"/>
    </xf>
    <xf numFmtId="0" fontId="1" fillId="0" borderId="20" xfId="1" applyFont="1" applyBorder="1" applyAlignment="1">
      <alignment horizontal="center" vertical="center"/>
    </xf>
    <xf numFmtId="0" fontId="1" fillId="0" borderId="19" xfId="1" applyFont="1" applyBorder="1" applyAlignment="1">
      <alignment horizontal="center" vertical="center"/>
    </xf>
    <xf numFmtId="0" fontId="1" fillId="0" borderId="30" xfId="1" applyFont="1" applyBorder="1" applyAlignment="1">
      <alignment horizontal="center" vertical="center"/>
    </xf>
    <xf numFmtId="0" fontId="1" fillId="2" borderId="7" xfId="1" applyFont="1" applyFill="1" applyBorder="1" applyAlignment="1">
      <alignment horizontal="center" vertical="center"/>
    </xf>
    <xf numFmtId="0" fontId="1" fillId="2" borderId="18" xfId="1" applyFont="1" applyFill="1" applyBorder="1" applyAlignment="1">
      <alignment horizontal="center" vertical="center"/>
    </xf>
    <xf numFmtId="0" fontId="1" fillId="2" borderId="22" xfId="1" applyFont="1" applyFill="1" applyBorder="1" applyAlignment="1">
      <alignment horizontal="center" vertical="center"/>
    </xf>
    <xf numFmtId="49" fontId="13" fillId="0" borderId="20" xfId="0" applyNumberFormat="1" applyFont="1" applyBorder="1" applyAlignment="1" applyProtection="1">
      <alignment horizontal="left" vertical="center" wrapText="1"/>
      <protection locked="0"/>
    </xf>
    <xf numFmtId="49" fontId="13" fillId="0" borderId="30" xfId="0" applyNumberFormat="1" applyFont="1" applyBorder="1" applyAlignment="1" applyProtection="1">
      <alignment horizontal="left" vertical="center" wrapText="1"/>
      <protection locked="0"/>
    </xf>
    <xf numFmtId="49" fontId="13" fillId="0" borderId="19" xfId="0" applyNumberFormat="1" applyFont="1" applyBorder="1" applyAlignment="1" applyProtection="1">
      <alignment horizontal="left" vertical="center" wrapText="1"/>
      <protection locked="0"/>
    </xf>
    <xf numFmtId="14" fontId="8" fillId="0" borderId="4" xfId="1" applyNumberFormat="1" applyFont="1" applyBorder="1" applyAlignment="1">
      <alignment horizontal="center" vertical="center"/>
    </xf>
    <xf numFmtId="14" fontId="8" fillId="0" borderId="29" xfId="1" applyNumberFormat="1" applyFont="1" applyBorder="1" applyAlignment="1">
      <alignment horizontal="center" vertical="center"/>
    </xf>
    <xf numFmtId="14" fontId="8" fillId="0" borderId="4" xfId="1" applyNumberFormat="1" applyFont="1" applyBorder="1" applyAlignment="1">
      <alignment horizontal="center" vertical="center" wrapText="1"/>
    </xf>
    <xf numFmtId="14" fontId="8" fillId="0" borderId="25" xfId="1" applyNumberFormat="1" applyFont="1" applyBorder="1" applyAlignment="1">
      <alignment horizontal="center" vertical="center" wrapText="1"/>
    </xf>
    <xf numFmtId="14" fontId="8" fillId="0" borderId="29" xfId="1" applyNumberFormat="1" applyFont="1" applyBorder="1" applyAlignment="1">
      <alignment horizontal="center" vertical="center" wrapText="1"/>
    </xf>
    <xf numFmtId="14" fontId="13" fillId="0" borderId="20" xfId="0" applyNumberFormat="1" applyFont="1" applyBorder="1" applyAlignment="1">
      <alignment horizontal="left" vertical="center"/>
    </xf>
    <xf numFmtId="14" fontId="13" fillId="0" borderId="30" xfId="0" applyNumberFormat="1" applyFont="1" applyBorder="1" applyAlignment="1">
      <alignment horizontal="left" vertical="center"/>
    </xf>
    <xf numFmtId="49" fontId="1" fillId="0" borderId="7" xfId="1" applyNumberFormat="1" applyFont="1" applyBorder="1" applyAlignment="1">
      <alignment horizontal="center" vertical="center"/>
    </xf>
    <xf numFmtId="49" fontId="1" fillId="0" borderId="22" xfId="1" applyNumberFormat="1" applyFont="1" applyBorder="1" applyAlignment="1">
      <alignment horizontal="center" vertical="center"/>
    </xf>
    <xf numFmtId="49" fontId="1" fillId="0" borderId="20" xfId="1" applyNumberFormat="1" applyFont="1" applyBorder="1" applyAlignment="1">
      <alignment horizontal="center" vertical="center"/>
    </xf>
    <xf numFmtId="49" fontId="1" fillId="0" borderId="19" xfId="1" applyNumberFormat="1" applyFont="1" applyBorder="1" applyAlignment="1">
      <alignment horizontal="center" vertical="center"/>
    </xf>
    <xf numFmtId="49" fontId="1" fillId="0" borderId="30" xfId="1" applyNumberFormat="1" applyFont="1" applyBorder="1" applyAlignment="1">
      <alignment horizontal="center" vertical="center"/>
    </xf>
    <xf numFmtId="49" fontId="8" fillId="0" borderId="20" xfId="1" applyNumberFormat="1" applyFont="1" applyBorder="1" applyAlignment="1">
      <alignment horizontal="center" vertical="center" wrapText="1"/>
    </xf>
    <xf numFmtId="49" fontId="8" fillId="0" borderId="30" xfId="1" applyNumberFormat="1" applyFont="1" applyBorder="1" applyAlignment="1">
      <alignment horizontal="center" vertical="center" wrapText="1"/>
    </xf>
    <xf numFmtId="0" fontId="1" fillId="0" borderId="20" xfId="1" applyFont="1" applyBorder="1" applyAlignment="1">
      <alignment horizontal="left" vertical="center"/>
    </xf>
    <xf numFmtId="0" fontId="1" fillId="0" borderId="19" xfId="1" applyFont="1" applyBorder="1" applyAlignment="1">
      <alignment horizontal="left" vertical="center"/>
    </xf>
    <xf numFmtId="0" fontId="1" fillId="0" borderId="30" xfId="1" applyFont="1" applyBorder="1" applyAlignment="1">
      <alignment horizontal="left" vertical="center"/>
    </xf>
    <xf numFmtId="0" fontId="1" fillId="0" borderId="12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49" fontId="8" fillId="0" borderId="11" xfId="1" applyNumberFormat="1" applyFont="1" applyBorder="1" applyAlignment="1">
      <alignment horizontal="center" vertical="center"/>
    </xf>
    <xf numFmtId="49" fontId="8" fillId="0" borderId="28" xfId="1" applyNumberFormat="1" applyFont="1" applyBorder="1" applyAlignment="1">
      <alignment horizontal="center" vertical="center"/>
    </xf>
    <xf numFmtId="49" fontId="8" fillId="0" borderId="11" xfId="1" applyNumberFormat="1" applyFont="1" applyBorder="1" applyAlignment="1">
      <alignment horizontal="center" vertical="center" wrapText="1"/>
    </xf>
    <xf numFmtId="49" fontId="8" fillId="0" borderId="26" xfId="1" applyNumberFormat="1" applyFont="1" applyBorder="1" applyAlignment="1">
      <alignment horizontal="center" vertical="center" wrapText="1"/>
    </xf>
    <xf numFmtId="49" fontId="8" fillId="0" borderId="28" xfId="1" applyNumberFormat="1" applyFont="1" applyBorder="1" applyAlignment="1">
      <alignment horizontal="center" vertical="center" wrapText="1"/>
    </xf>
    <xf numFmtId="49" fontId="13" fillId="0" borderId="20" xfId="1" applyNumberFormat="1" applyFont="1" applyBorder="1" applyAlignment="1" applyProtection="1">
      <alignment horizontal="left" vertical="center" wrapText="1"/>
      <protection locked="0"/>
    </xf>
    <xf numFmtId="49" fontId="13" fillId="0" borderId="19" xfId="1" applyNumberFormat="1" applyFont="1" applyBorder="1" applyAlignment="1" applyProtection="1">
      <alignment horizontal="left" vertical="center" wrapText="1"/>
      <protection locked="0"/>
    </xf>
    <xf numFmtId="49" fontId="13" fillId="0" borderId="30" xfId="1" applyNumberFormat="1" applyFont="1" applyBorder="1" applyAlignment="1" applyProtection="1">
      <alignment horizontal="left" vertical="center" wrapText="1"/>
      <protection locked="0"/>
    </xf>
    <xf numFmtId="14" fontId="13" fillId="0" borderId="20" xfId="1" applyNumberFormat="1" applyFont="1" applyBorder="1" applyAlignment="1" applyProtection="1">
      <alignment horizontal="left" vertical="center" wrapText="1"/>
      <protection locked="0"/>
    </xf>
    <xf numFmtId="14" fontId="13" fillId="0" borderId="30" xfId="1" applyNumberFormat="1" applyFont="1" applyBorder="1" applyAlignment="1" applyProtection="1">
      <alignment horizontal="left" vertical="center" wrapText="1"/>
      <protection locked="0"/>
    </xf>
    <xf numFmtId="0" fontId="13" fillId="0" borderId="19" xfId="1" applyFont="1" applyBorder="1" applyAlignment="1" applyProtection="1">
      <alignment horizontal="left" vertical="center" wrapText="1"/>
      <protection locked="0"/>
    </xf>
    <xf numFmtId="0" fontId="13" fillId="0" borderId="30" xfId="1" applyFont="1" applyBorder="1" applyAlignment="1" applyProtection="1">
      <alignment horizontal="left" vertical="center" wrapText="1"/>
      <protection locked="0"/>
    </xf>
    <xf numFmtId="0" fontId="1" fillId="0" borderId="16" xfId="1" applyFont="1" applyBorder="1" applyAlignment="1">
      <alignment horizontal="center" vertical="center"/>
    </xf>
    <xf numFmtId="0" fontId="1" fillId="0" borderId="27" xfId="1" applyFont="1" applyBorder="1" applyAlignment="1">
      <alignment horizontal="center" vertical="center"/>
    </xf>
    <xf numFmtId="49" fontId="8" fillId="14" borderId="43" xfId="0" applyNumberFormat="1" applyFont="1" applyFill="1" applyBorder="1" applyAlignment="1" applyProtection="1">
      <alignment horizontal="left" vertical="center" wrapText="1"/>
      <protection locked="0"/>
    </xf>
    <xf numFmtId="49" fontId="8" fillId="14" borderId="44" xfId="0" applyNumberFormat="1" applyFont="1" applyFill="1" applyBorder="1" applyAlignment="1" applyProtection="1">
      <alignment horizontal="left" vertical="center" wrapText="1"/>
      <protection locked="0"/>
    </xf>
    <xf numFmtId="49" fontId="8" fillId="14" borderId="45" xfId="0" applyNumberFormat="1" applyFont="1" applyFill="1" applyBorder="1" applyAlignment="1" applyProtection="1">
      <alignment horizontal="left" vertical="center" wrapText="1"/>
      <protection locked="0"/>
    </xf>
    <xf numFmtId="49" fontId="13" fillId="0" borderId="43" xfId="0" applyNumberFormat="1" applyFont="1" applyBorder="1" applyAlignment="1" applyProtection="1">
      <alignment horizontal="left" vertical="center" wrapText="1"/>
      <protection locked="0"/>
    </xf>
    <xf numFmtId="49" fontId="13" fillId="0" borderId="44" xfId="0" applyNumberFormat="1" applyFont="1" applyBorder="1" applyAlignment="1" applyProtection="1">
      <alignment horizontal="left" vertical="center" wrapText="1"/>
      <protection locked="0"/>
    </xf>
    <xf numFmtId="49" fontId="13" fillId="0" borderId="45" xfId="0" applyNumberFormat="1" applyFont="1" applyBorder="1" applyAlignment="1" applyProtection="1">
      <alignment horizontal="left" vertical="center" wrapText="1"/>
      <protection locked="0"/>
    </xf>
    <xf numFmtId="49" fontId="13" fillId="4" borderId="43" xfId="0" applyNumberFormat="1" applyFont="1" applyFill="1" applyBorder="1" applyAlignment="1" applyProtection="1">
      <alignment horizontal="left" vertical="center" wrapText="1"/>
      <protection locked="0"/>
    </xf>
    <xf numFmtId="49" fontId="13" fillId="4" borderId="44" xfId="0" applyNumberFormat="1" applyFont="1" applyFill="1" applyBorder="1" applyAlignment="1" applyProtection="1">
      <alignment horizontal="left" vertical="center" wrapText="1"/>
      <protection locked="0"/>
    </xf>
    <xf numFmtId="49" fontId="13" fillId="4" borderId="45" xfId="0" applyNumberFormat="1" applyFont="1" applyFill="1" applyBorder="1" applyAlignment="1" applyProtection="1">
      <alignment horizontal="left" vertical="center" wrapText="1"/>
      <protection locked="0"/>
    </xf>
    <xf numFmtId="49" fontId="10" fillId="14" borderId="43" xfId="0" applyNumberFormat="1" applyFont="1" applyFill="1" applyBorder="1" applyAlignment="1" applyProtection="1">
      <alignment horizontal="left" vertical="center" wrapText="1"/>
      <protection locked="0"/>
    </xf>
    <xf numFmtId="49" fontId="10" fillId="14" borderId="44" xfId="0" applyNumberFormat="1" applyFont="1" applyFill="1" applyBorder="1" applyAlignment="1" applyProtection="1">
      <alignment horizontal="left" vertical="center" wrapText="1"/>
      <protection locked="0"/>
    </xf>
    <xf numFmtId="49" fontId="10" fillId="14" borderId="45" xfId="0" applyNumberFormat="1" applyFont="1" applyFill="1" applyBorder="1" applyAlignment="1" applyProtection="1">
      <alignment horizontal="left" vertical="center" wrapText="1"/>
      <protection locked="0"/>
    </xf>
    <xf numFmtId="0" fontId="8" fillId="0" borderId="25" xfId="0" applyFont="1" applyBorder="1" applyAlignment="1">
      <alignment horizontal="left" vertical="center"/>
    </xf>
    <xf numFmtId="49" fontId="13" fillId="4" borderId="25" xfId="0" applyNumberFormat="1" applyFont="1" applyFill="1" applyBorder="1" applyAlignment="1" applyProtection="1">
      <alignment horizontal="left" vertical="center" wrapText="1"/>
      <protection locked="0"/>
    </xf>
    <xf numFmtId="49" fontId="8" fillId="14" borderId="43" xfId="0" applyNumberFormat="1" applyFont="1" applyFill="1" applyBorder="1" applyAlignment="1" applyProtection="1">
      <alignment horizontal="left" vertical="center"/>
      <protection locked="0"/>
    </xf>
    <xf numFmtId="49" fontId="8" fillId="14" borderId="44" xfId="0" applyNumberFormat="1" applyFont="1" applyFill="1" applyBorder="1" applyAlignment="1" applyProtection="1">
      <alignment horizontal="left" vertical="center"/>
      <protection locked="0"/>
    </xf>
    <xf numFmtId="49" fontId="8" fillId="14" borderId="45" xfId="0" applyNumberFormat="1" applyFont="1" applyFill="1" applyBorder="1" applyAlignment="1" applyProtection="1">
      <alignment horizontal="left" vertical="center"/>
      <protection locked="0"/>
    </xf>
    <xf numFmtId="49" fontId="13" fillId="4" borderId="43" xfId="0" applyNumberFormat="1" applyFont="1" applyFill="1" applyBorder="1" applyAlignment="1" applyProtection="1">
      <alignment horizontal="left" vertical="center"/>
      <protection locked="0"/>
    </xf>
    <xf numFmtId="49" fontId="13" fillId="4" borderId="44" xfId="0" applyNumberFormat="1" applyFont="1" applyFill="1" applyBorder="1" applyAlignment="1" applyProtection="1">
      <alignment horizontal="left" vertical="center"/>
      <protection locked="0"/>
    </xf>
    <xf numFmtId="49" fontId="13" fillId="4" borderId="45" xfId="0" applyNumberFormat="1" applyFont="1" applyFill="1" applyBorder="1" applyAlignment="1" applyProtection="1">
      <alignment horizontal="left" vertical="center"/>
      <protection locked="0"/>
    </xf>
    <xf numFmtId="49" fontId="8" fillId="14" borderId="59" xfId="0" applyNumberFormat="1" applyFont="1" applyFill="1" applyBorder="1" applyAlignment="1" applyProtection="1">
      <alignment horizontal="left" vertical="center" wrapText="1"/>
      <protection locked="0"/>
    </xf>
    <xf numFmtId="49" fontId="8" fillId="14" borderId="58" xfId="0" applyNumberFormat="1" applyFont="1" applyFill="1" applyBorder="1" applyAlignment="1" applyProtection="1">
      <alignment horizontal="left" vertical="center" wrapText="1"/>
      <protection locked="0"/>
    </xf>
    <xf numFmtId="49" fontId="8" fillId="14" borderId="50" xfId="0" applyNumberFormat="1" applyFont="1" applyFill="1" applyBorder="1" applyAlignment="1" applyProtection="1">
      <alignment horizontal="left" vertical="center" wrapText="1"/>
      <protection locked="0"/>
    </xf>
    <xf numFmtId="49" fontId="13" fillId="0" borderId="55" xfId="0" applyNumberFormat="1" applyFont="1" applyBorder="1" applyAlignment="1" applyProtection="1">
      <alignment horizontal="left" vertical="center" wrapText="1"/>
      <protection locked="0"/>
    </xf>
    <xf numFmtId="49" fontId="13" fillId="0" borderId="56" xfId="0" applyNumberFormat="1" applyFont="1" applyBorder="1" applyAlignment="1" applyProtection="1">
      <alignment horizontal="left" vertical="center" wrapText="1"/>
      <protection locked="0"/>
    </xf>
    <xf numFmtId="49" fontId="13" fillId="0" borderId="57" xfId="0" applyNumberFormat="1" applyFont="1" applyBorder="1" applyAlignment="1" applyProtection="1">
      <alignment horizontal="left" vertical="center" wrapText="1"/>
      <protection locked="0"/>
    </xf>
    <xf numFmtId="49" fontId="8" fillId="14" borderId="4" xfId="0" applyNumberFormat="1" applyFont="1" applyFill="1" applyBorder="1" applyAlignment="1" applyProtection="1">
      <alignment horizontal="left" vertical="center" wrapText="1"/>
      <protection locked="0"/>
    </xf>
    <xf numFmtId="0" fontId="8" fillId="14" borderId="43" xfId="0" applyFont="1" applyFill="1" applyBorder="1" applyAlignment="1">
      <alignment horizontal="left" vertical="center"/>
    </xf>
    <xf numFmtId="49" fontId="13" fillId="0" borderId="43" xfId="0" applyNumberFormat="1" applyFont="1" applyBorder="1" applyAlignment="1" applyProtection="1">
      <alignment horizontal="left" vertical="center"/>
      <protection locked="0"/>
    </xf>
    <xf numFmtId="49" fontId="13" fillId="0" borderId="44" xfId="0" applyNumberFormat="1" applyFont="1" applyBorder="1" applyAlignment="1" applyProtection="1">
      <alignment horizontal="left" vertical="center"/>
      <protection locked="0"/>
    </xf>
    <xf numFmtId="49" fontId="13" fillId="0" borderId="45" xfId="0" applyNumberFormat="1" applyFont="1" applyBorder="1" applyAlignment="1" applyProtection="1">
      <alignment horizontal="left" vertical="center"/>
      <protection locked="0"/>
    </xf>
    <xf numFmtId="49" fontId="8" fillId="14" borderId="43" xfId="0" applyNumberFormat="1" applyFont="1" applyFill="1" applyBorder="1" applyAlignment="1" applyProtection="1">
      <alignment vertical="center" wrapText="1"/>
      <protection locked="0"/>
    </xf>
    <xf numFmtId="49" fontId="8" fillId="14" borderId="44" xfId="0" applyNumberFormat="1" applyFont="1" applyFill="1" applyBorder="1" applyAlignment="1" applyProtection="1">
      <alignment vertical="center" wrapText="1"/>
      <protection locked="0"/>
    </xf>
    <xf numFmtId="49" fontId="8" fillId="14" borderId="45" xfId="0" applyNumberFormat="1" applyFont="1" applyFill="1" applyBorder="1" applyAlignment="1" applyProtection="1">
      <alignment vertical="center" wrapText="1"/>
      <protection locked="0"/>
    </xf>
    <xf numFmtId="49" fontId="8" fillId="0" borderId="11" xfId="1" applyNumberFormat="1" applyFont="1" applyBorder="1" applyAlignment="1" applyProtection="1">
      <alignment horizontal="center" vertical="center" wrapText="1"/>
      <protection locked="0"/>
    </xf>
    <xf numFmtId="0" fontId="5" fillId="0" borderId="26" xfId="1" applyBorder="1" applyAlignment="1" applyProtection="1">
      <alignment horizontal="center" vertical="center" wrapText="1"/>
      <protection locked="0"/>
    </xf>
    <xf numFmtId="0" fontId="5" fillId="0" borderId="28" xfId="1" applyBorder="1" applyAlignment="1" applyProtection="1">
      <alignment horizontal="center" vertical="center" wrapText="1"/>
      <protection locked="0"/>
    </xf>
    <xf numFmtId="49" fontId="8" fillId="0" borderId="4" xfId="1" applyNumberFormat="1" applyFont="1" applyBorder="1" applyAlignment="1" applyProtection="1">
      <alignment horizontal="center" vertical="center" wrapText="1"/>
      <protection locked="0"/>
    </xf>
    <xf numFmtId="0" fontId="5" fillId="0" borderId="29" xfId="1" applyBorder="1" applyAlignment="1" applyProtection="1">
      <alignment horizontal="center" vertical="center" wrapText="1"/>
      <protection locked="0"/>
    </xf>
    <xf numFmtId="0" fontId="5" fillId="0" borderId="25" xfId="1" applyBorder="1" applyAlignment="1" applyProtection="1">
      <alignment horizontal="center" vertical="center" wrapText="1"/>
      <protection locked="0"/>
    </xf>
    <xf numFmtId="14" fontId="8" fillId="0" borderId="11" xfId="1" applyNumberFormat="1" applyFont="1" applyBorder="1" applyAlignment="1" applyProtection="1">
      <alignment horizontal="center" vertical="center" wrapText="1"/>
      <protection locked="0"/>
    </xf>
    <xf numFmtId="14" fontId="8" fillId="0" borderId="28" xfId="1" applyNumberFormat="1" applyFont="1" applyBorder="1" applyAlignment="1" applyProtection="1">
      <alignment horizontal="center" vertical="center" wrapText="1"/>
      <protection locked="0"/>
    </xf>
    <xf numFmtId="49" fontId="8" fillId="0" borderId="25" xfId="1" applyNumberFormat="1" applyFont="1" applyBorder="1" applyAlignment="1" applyProtection="1">
      <alignment horizontal="center" vertical="center" wrapText="1"/>
      <protection locked="0"/>
    </xf>
    <xf numFmtId="49" fontId="8" fillId="0" borderId="29" xfId="1" applyNumberFormat="1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00000000-0005-0000-0000-000001000000}"/>
  </cellStyles>
  <dxfs count="24">
    <dxf>
      <font>
        <condense val="0"/>
        <extend val="0"/>
        <color indexed="9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ont>
        <condense val="0"/>
        <extend val="0"/>
        <color indexed="9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ont>
        <condense val="0"/>
        <extend val="0"/>
        <color indexed="9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</dxfs>
  <tableStyles count="0" defaultTableStyle="TableStyleMedium9" defaultPivotStyle="PivotStyleLight16"/>
  <colors>
    <mruColors>
      <color rgb="FFFC9EC2"/>
      <color rgb="FFFC9E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1294151</xdr:colOff>
      <xdr:row>38</xdr:row>
      <xdr:rowOff>361492</xdr:rowOff>
    </xdr:from>
    <xdr:to>
      <xdr:col>6</xdr:col>
      <xdr:colOff>2583654</xdr:colOff>
      <xdr:row>54</xdr:row>
      <xdr:rowOff>29931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4083FF77-DBBC-4612-BF27-C325D7B31B38}"/>
            </a:ext>
          </a:extLst>
        </xdr:cNvPr>
        <xdr:cNvSpPr/>
      </xdr:nvSpPr>
      <xdr:spPr>
        <a:xfrm>
          <a:off x="5428001" y="10261777"/>
          <a:ext cx="1287598" cy="5758724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1741487</xdr:colOff>
      <xdr:row>37</xdr:row>
      <xdr:rowOff>66671</xdr:rowOff>
    </xdr:from>
    <xdr:ext cx="6012223" cy="718466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07D6B67-2862-4F31-8C67-D6A92983845F}"/>
            </a:ext>
          </a:extLst>
        </xdr:cNvPr>
        <xdr:cNvSpPr/>
      </xdr:nvSpPr>
      <xdr:spPr>
        <a:xfrm>
          <a:off x="3206432" y="9580241"/>
          <a:ext cx="6012223" cy="718466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0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Continue to populate sheet</a:t>
          </a:r>
        </a:p>
      </xdr:txBody>
    </xdr:sp>
    <xdr:clientData/>
  </xdr:oneCellAnchor>
  <xdr:twoCellAnchor>
    <xdr:from>
      <xdr:col>3</xdr:col>
      <xdr:colOff>1873475</xdr:colOff>
      <xdr:row>39</xdr:row>
      <xdr:rowOff>67124</xdr:rowOff>
    </xdr:from>
    <xdr:to>
      <xdr:col>6</xdr:col>
      <xdr:colOff>439622</xdr:colOff>
      <xdr:row>54</xdr:row>
      <xdr:rowOff>87988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EF9A6B82-D254-43D2-9768-294192AA9F67}"/>
            </a:ext>
          </a:extLst>
        </xdr:cNvPr>
        <xdr:cNvSpPr/>
      </xdr:nvSpPr>
      <xdr:spPr>
        <a:xfrm>
          <a:off x="3342230" y="10342694"/>
          <a:ext cx="1227432" cy="574157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219300</xdr:colOff>
      <xdr:row>39</xdr:row>
      <xdr:rowOff>85720</xdr:rowOff>
    </xdr:from>
    <xdr:to>
      <xdr:col>10</xdr:col>
      <xdr:colOff>345165</xdr:colOff>
      <xdr:row>54</xdr:row>
      <xdr:rowOff>87534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FD49778C-4CE0-40D2-BCE3-72C01F4D56CB}"/>
            </a:ext>
          </a:extLst>
        </xdr:cNvPr>
        <xdr:cNvSpPr/>
      </xdr:nvSpPr>
      <xdr:spPr>
        <a:xfrm>
          <a:off x="8027895" y="10365100"/>
          <a:ext cx="1261245" cy="5716814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203900</xdr:colOff>
      <xdr:row>42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EDDF9C-05DD-7197-22E2-E62B57401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99900" cy="685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9702-2270-47D6-ABA7-3D6557DB8504}">
  <sheetPr>
    <pageSetUpPr fitToPage="1"/>
  </sheetPr>
  <dimension ref="A1:AG68"/>
  <sheetViews>
    <sheetView tabSelected="1" view="pageBreakPreview" zoomScale="80" zoomScaleNormal="100" zoomScaleSheetLayoutView="80" workbookViewId="0">
      <pane ySplit="5" topLeftCell="A6" activePane="bottomLeft" state="frozen"/>
      <selection activeCell="C38" sqref="C38:G38"/>
      <selection pane="bottomLeft" activeCell="H67" sqref="H67:I67"/>
    </sheetView>
  </sheetViews>
  <sheetFormatPr defaultColWidth="9.26953125" defaultRowHeight="12.5" x14ac:dyDescent="0.25"/>
  <cols>
    <col min="1" max="1" width="2.81640625" style="1" customWidth="1"/>
    <col min="2" max="2" width="6.26953125" style="1" customWidth="1"/>
    <col min="3" max="3" width="12.26953125" style="1" customWidth="1"/>
    <col min="4" max="4" width="29.453125" style="1" customWidth="1"/>
    <col min="5" max="6" width="4.7265625" style="1" customWidth="1"/>
    <col min="7" max="7" width="41.1796875" style="1" customWidth="1"/>
    <col min="8" max="8" width="15.81640625" style="1" customWidth="1"/>
    <col min="9" max="9" width="11.7265625" style="1" customWidth="1"/>
    <col min="10" max="10" width="4.7265625" style="1" customWidth="1"/>
    <col min="11" max="11" width="20.54296875" style="1" customWidth="1"/>
    <col min="12" max="12" width="4.7265625" style="1" customWidth="1"/>
    <col min="13" max="13" width="8.1796875" style="1" customWidth="1"/>
    <col min="14" max="15" width="6.7265625" style="1" customWidth="1"/>
    <col min="16" max="18" width="4.26953125" style="1" customWidth="1"/>
    <col min="19" max="21" width="5.7265625" style="1" customWidth="1"/>
    <col min="22" max="22" width="7" style="1" customWidth="1"/>
    <col min="23" max="26" width="9.26953125" style="1"/>
    <col min="27" max="29" width="9.26953125" style="1" hidden="1" customWidth="1"/>
    <col min="30" max="30" width="9.26953125" style="86" hidden="1" customWidth="1"/>
    <col min="31" max="33" width="9.26953125" style="1" hidden="1" customWidth="1"/>
    <col min="34" max="16384" width="9.26953125" style="1"/>
  </cols>
  <sheetData>
    <row r="1" spans="1:32" ht="30.5" thickBot="1" x14ac:dyDescent="0.3">
      <c r="A1" s="144" t="s">
        <v>0</v>
      </c>
      <c r="B1" s="145"/>
      <c r="C1" s="146" t="s">
        <v>1</v>
      </c>
      <c r="D1" s="147"/>
      <c r="E1" s="148" t="s">
        <v>2</v>
      </c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23"/>
      <c r="AB1" s="83" t="s">
        <v>3</v>
      </c>
      <c r="AC1" s="83" t="s">
        <v>4</v>
      </c>
      <c r="AD1" s="84" t="s">
        <v>5</v>
      </c>
      <c r="AE1" s="83"/>
      <c r="AF1" s="83" t="s">
        <v>6</v>
      </c>
    </row>
    <row r="2" spans="1:32" ht="15.5" x14ac:dyDescent="0.25">
      <c r="A2" s="141" t="s">
        <v>7</v>
      </c>
      <c r="B2" s="142"/>
      <c r="C2" s="142"/>
      <c r="D2" s="142"/>
      <c r="E2" s="143"/>
      <c r="F2" s="141" t="s">
        <v>8</v>
      </c>
      <c r="G2" s="142"/>
      <c r="H2" s="143"/>
      <c r="I2" s="141" t="s">
        <v>9</v>
      </c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50"/>
      <c r="AB2" s="83" t="s">
        <v>10</v>
      </c>
      <c r="AC2" s="85" t="s">
        <v>11</v>
      </c>
      <c r="AD2" s="84" t="s">
        <v>12</v>
      </c>
      <c r="AE2" s="83"/>
      <c r="AF2" s="83" t="s">
        <v>13</v>
      </c>
    </row>
    <row r="3" spans="1:32" ht="16" customHeight="1" x14ac:dyDescent="0.25">
      <c r="A3" s="132" t="s">
        <v>202</v>
      </c>
      <c r="B3" s="133"/>
      <c r="C3" s="133"/>
      <c r="D3" s="133"/>
      <c r="E3" s="134"/>
      <c r="F3" s="135" t="s">
        <v>10</v>
      </c>
      <c r="G3" s="136"/>
      <c r="H3" s="137"/>
      <c r="I3" s="138" t="s">
        <v>205</v>
      </c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40"/>
      <c r="AB3" s="83" t="s">
        <v>14</v>
      </c>
      <c r="AC3" s="85" t="s">
        <v>15</v>
      </c>
      <c r="AD3" s="84" t="s">
        <v>16</v>
      </c>
      <c r="AE3" s="83"/>
      <c r="AF3" s="83" t="s">
        <v>17</v>
      </c>
    </row>
    <row r="4" spans="1:32" ht="15.5" x14ac:dyDescent="0.25">
      <c r="A4" s="141" t="s">
        <v>18</v>
      </c>
      <c r="B4" s="142"/>
      <c r="C4" s="142"/>
      <c r="D4" s="142"/>
      <c r="E4" s="143"/>
      <c r="F4" s="141" t="s">
        <v>19</v>
      </c>
      <c r="G4" s="142"/>
      <c r="H4" s="143"/>
      <c r="I4" s="81" t="s">
        <v>20</v>
      </c>
      <c r="J4" s="141" t="s">
        <v>21</v>
      </c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3"/>
      <c r="AB4" s="83" t="s">
        <v>22</v>
      </c>
      <c r="AC4" s="85" t="s">
        <v>23</v>
      </c>
      <c r="AD4" s="84"/>
      <c r="AE4" s="83"/>
      <c r="AF4" s="83" t="s">
        <v>24</v>
      </c>
    </row>
    <row r="5" spans="1:32" ht="16" thickBot="1" x14ac:dyDescent="0.3">
      <c r="A5" s="132" t="s">
        <v>25</v>
      </c>
      <c r="B5" s="133"/>
      <c r="C5" s="133"/>
      <c r="D5" s="133"/>
      <c r="E5" s="134"/>
      <c r="F5" s="132" t="s">
        <v>203</v>
      </c>
      <c r="G5" s="133"/>
      <c r="H5" s="134"/>
      <c r="I5" s="24" t="s">
        <v>26</v>
      </c>
      <c r="J5" s="151">
        <v>46114</v>
      </c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3"/>
      <c r="AB5" s="83" t="s">
        <v>27</v>
      </c>
      <c r="AC5" s="85" t="s">
        <v>12</v>
      </c>
      <c r="AD5" s="84"/>
      <c r="AE5" s="83"/>
      <c r="AF5" s="83" t="s">
        <v>28</v>
      </c>
    </row>
    <row r="6" spans="1:32" ht="23.5" thickBot="1" x14ac:dyDescent="0.3">
      <c r="A6" s="17" t="s">
        <v>29</v>
      </c>
      <c r="B6" s="2"/>
      <c r="C6" s="16"/>
      <c r="D6" s="16"/>
      <c r="E6" s="16"/>
      <c r="F6" s="16"/>
      <c r="G6" s="154" t="s">
        <v>30</v>
      </c>
      <c r="H6" s="154"/>
      <c r="I6" s="154"/>
      <c r="J6" s="154"/>
      <c r="K6" s="154"/>
      <c r="L6" s="154"/>
      <c r="M6" s="154"/>
      <c r="N6" s="154"/>
      <c r="O6" s="154"/>
      <c r="P6" s="25"/>
      <c r="Q6" s="25"/>
      <c r="R6" s="25"/>
      <c r="S6" s="25"/>
      <c r="T6" s="25"/>
      <c r="U6" s="26"/>
      <c r="AB6" s="83"/>
      <c r="AC6" s="83"/>
      <c r="AD6" s="84"/>
      <c r="AE6" s="83"/>
      <c r="AF6" s="83" t="s">
        <v>31</v>
      </c>
    </row>
    <row r="7" spans="1:32" ht="10.9" customHeight="1" thickBot="1" x14ac:dyDescent="0.3">
      <c r="A7" s="12"/>
      <c r="B7" s="2"/>
      <c r="C7" s="2"/>
      <c r="D7" s="2"/>
      <c r="E7" s="27"/>
      <c r="F7" s="27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14"/>
      <c r="AB7" s="83"/>
      <c r="AC7" s="83"/>
      <c r="AD7" s="84"/>
      <c r="AE7" s="83"/>
      <c r="AF7" s="83" t="s">
        <v>32</v>
      </c>
    </row>
    <row r="8" spans="1:32" ht="15.5" x14ac:dyDescent="0.25">
      <c r="A8" s="155" t="s">
        <v>33</v>
      </c>
      <c r="B8" s="158" t="s">
        <v>34</v>
      </c>
      <c r="C8" s="159"/>
      <c r="D8" s="160"/>
      <c r="E8" s="28"/>
      <c r="F8" s="161" t="s">
        <v>35</v>
      </c>
      <c r="G8" s="164" t="s">
        <v>36</v>
      </c>
      <c r="H8" s="165"/>
      <c r="I8" s="2"/>
      <c r="J8" s="166" t="s">
        <v>37</v>
      </c>
      <c r="K8" s="169" t="s">
        <v>38</v>
      </c>
      <c r="L8" s="170"/>
      <c r="M8" s="170"/>
      <c r="N8" s="171"/>
      <c r="O8" s="29"/>
      <c r="P8" s="30"/>
      <c r="Q8" s="30"/>
      <c r="R8" s="30"/>
      <c r="S8" s="30"/>
      <c r="T8" s="30"/>
      <c r="U8" s="31"/>
      <c r="AB8" s="83"/>
      <c r="AC8" s="83"/>
      <c r="AD8" s="84"/>
      <c r="AE8" s="83"/>
      <c r="AF8" s="83"/>
    </row>
    <row r="9" spans="1:32" ht="15.5" x14ac:dyDescent="0.25">
      <c r="A9" s="156"/>
      <c r="B9" s="175" t="s">
        <v>39</v>
      </c>
      <c r="C9" s="177"/>
      <c r="D9" s="176"/>
      <c r="E9" s="28"/>
      <c r="F9" s="162"/>
      <c r="G9" s="186" t="s">
        <v>40</v>
      </c>
      <c r="H9" s="187"/>
      <c r="I9" s="2"/>
      <c r="J9" s="167"/>
      <c r="K9" s="175" t="s">
        <v>41</v>
      </c>
      <c r="L9" s="177"/>
      <c r="M9" s="177"/>
      <c r="N9" s="176"/>
      <c r="O9" s="29"/>
      <c r="P9" s="30"/>
      <c r="Q9" s="30"/>
      <c r="R9" s="30"/>
      <c r="S9" s="30"/>
      <c r="T9" s="30"/>
      <c r="U9" s="31"/>
    </row>
    <row r="10" spans="1:32" ht="15.5" x14ac:dyDescent="0.25">
      <c r="A10" s="156"/>
      <c r="B10" s="175" t="s">
        <v>42</v>
      </c>
      <c r="C10" s="177"/>
      <c r="D10" s="176"/>
      <c r="E10" s="28"/>
      <c r="F10" s="162"/>
      <c r="G10" s="175" t="s">
        <v>43</v>
      </c>
      <c r="H10" s="176"/>
      <c r="I10" s="2"/>
      <c r="J10" s="167"/>
      <c r="K10" s="175" t="s">
        <v>44</v>
      </c>
      <c r="L10" s="177"/>
      <c r="M10" s="177"/>
      <c r="N10" s="176"/>
      <c r="O10" s="32"/>
      <c r="P10" s="28"/>
      <c r="Q10" s="28"/>
      <c r="R10" s="28"/>
      <c r="S10" s="28"/>
      <c r="T10" s="28"/>
      <c r="U10" s="33"/>
    </row>
    <row r="11" spans="1:32" ht="15.5" x14ac:dyDescent="0.25">
      <c r="A11" s="156"/>
      <c r="B11" s="172" t="s">
        <v>45</v>
      </c>
      <c r="C11" s="173"/>
      <c r="D11" s="174"/>
      <c r="E11" s="30"/>
      <c r="F11" s="162"/>
      <c r="G11" s="175" t="s">
        <v>46</v>
      </c>
      <c r="H11" s="176"/>
      <c r="I11" s="2"/>
      <c r="J11" s="167"/>
      <c r="K11" s="175" t="s">
        <v>47</v>
      </c>
      <c r="L11" s="177"/>
      <c r="M11" s="177"/>
      <c r="N11" s="176"/>
      <c r="O11" s="32"/>
      <c r="P11" s="28"/>
      <c r="Q11" s="28"/>
      <c r="R11" s="28"/>
      <c r="S11" s="28"/>
      <c r="T11" s="28"/>
      <c r="U11" s="33"/>
    </row>
    <row r="12" spans="1:32" ht="15.5" x14ac:dyDescent="0.25">
      <c r="A12" s="156"/>
      <c r="B12" s="175" t="s">
        <v>48</v>
      </c>
      <c r="C12" s="177"/>
      <c r="D12" s="176"/>
      <c r="E12" s="28"/>
      <c r="F12" s="162"/>
      <c r="G12" s="175" t="s">
        <v>49</v>
      </c>
      <c r="H12" s="176"/>
      <c r="I12" s="2"/>
      <c r="J12" s="167"/>
      <c r="K12" s="13"/>
      <c r="L12" s="13"/>
      <c r="M12" s="13"/>
      <c r="N12" s="13"/>
      <c r="O12" s="32"/>
      <c r="P12" s="28"/>
      <c r="Q12" s="28"/>
      <c r="R12" s="28"/>
      <c r="S12" s="28"/>
      <c r="T12" s="28"/>
      <c r="U12" s="33"/>
    </row>
    <row r="13" spans="1:32" ht="16" thickBot="1" x14ac:dyDescent="0.4">
      <c r="A13" s="157"/>
      <c r="B13" s="178" t="s">
        <v>50</v>
      </c>
      <c r="C13" s="179"/>
      <c r="D13" s="180"/>
      <c r="E13" s="34"/>
      <c r="F13" s="162"/>
      <c r="G13" s="181" t="s">
        <v>51</v>
      </c>
      <c r="H13" s="182"/>
      <c r="I13" s="2"/>
      <c r="J13" s="168"/>
      <c r="K13" s="183"/>
      <c r="L13" s="184"/>
      <c r="M13" s="184"/>
      <c r="N13" s="185"/>
      <c r="O13" s="32"/>
      <c r="P13" s="28"/>
      <c r="Q13" s="28"/>
      <c r="R13" s="28"/>
      <c r="S13" s="28"/>
      <c r="T13" s="28"/>
      <c r="U13" s="33"/>
    </row>
    <row r="14" spans="1:32" ht="15.5" x14ac:dyDescent="0.25">
      <c r="A14" s="188" t="s">
        <v>52</v>
      </c>
      <c r="B14" s="169" t="s">
        <v>53</v>
      </c>
      <c r="C14" s="170"/>
      <c r="D14" s="171"/>
      <c r="E14" s="35"/>
      <c r="F14" s="162"/>
      <c r="G14" s="186" t="s">
        <v>54</v>
      </c>
      <c r="H14" s="187"/>
      <c r="I14" s="2"/>
      <c r="J14" s="191" t="s">
        <v>55</v>
      </c>
      <c r="K14" s="175" t="s">
        <v>56</v>
      </c>
      <c r="L14" s="177"/>
      <c r="M14" s="177"/>
      <c r="N14" s="176"/>
      <c r="O14" s="32"/>
      <c r="P14" s="28"/>
      <c r="Q14" s="28"/>
      <c r="R14" s="28"/>
      <c r="S14" s="28"/>
      <c r="T14" s="28"/>
      <c r="U14" s="33"/>
    </row>
    <row r="15" spans="1:32" ht="15.5" x14ac:dyDescent="0.25">
      <c r="A15" s="189"/>
      <c r="B15" s="172" t="s">
        <v>57</v>
      </c>
      <c r="C15" s="173"/>
      <c r="D15" s="174"/>
      <c r="E15" s="36"/>
      <c r="F15" s="162"/>
      <c r="G15" s="186" t="s">
        <v>58</v>
      </c>
      <c r="H15" s="187"/>
      <c r="I15" s="2"/>
      <c r="J15" s="192"/>
      <c r="K15" s="175" t="s">
        <v>59</v>
      </c>
      <c r="L15" s="177"/>
      <c r="M15" s="177"/>
      <c r="N15" s="176"/>
      <c r="O15" s="32"/>
      <c r="P15" s="28"/>
      <c r="Q15" s="28"/>
      <c r="R15" s="28"/>
      <c r="S15" s="28"/>
      <c r="T15" s="28"/>
      <c r="U15" s="33"/>
    </row>
    <row r="16" spans="1:32" ht="16" thickBot="1" x14ac:dyDescent="0.3">
      <c r="A16" s="189"/>
      <c r="B16" s="175" t="s">
        <v>60</v>
      </c>
      <c r="C16" s="177"/>
      <c r="D16" s="176"/>
      <c r="E16" s="36"/>
      <c r="F16" s="163"/>
      <c r="G16" s="183" t="s">
        <v>61</v>
      </c>
      <c r="H16" s="185"/>
      <c r="I16" s="2"/>
      <c r="J16" s="192"/>
      <c r="K16" s="175" t="s">
        <v>62</v>
      </c>
      <c r="L16" s="177"/>
      <c r="M16" s="177"/>
      <c r="N16" s="176"/>
      <c r="O16" s="32"/>
      <c r="P16" s="28"/>
      <c r="Q16" s="28"/>
      <c r="R16" s="28"/>
      <c r="S16" s="28"/>
      <c r="T16" s="28"/>
      <c r="U16" s="33"/>
    </row>
    <row r="17" spans="1:22" ht="15.5" x14ac:dyDescent="0.25">
      <c r="A17" s="189"/>
      <c r="B17" s="175" t="s">
        <v>63</v>
      </c>
      <c r="C17" s="177"/>
      <c r="D17" s="176"/>
      <c r="E17" s="28"/>
      <c r="F17" s="200" t="s">
        <v>64</v>
      </c>
      <c r="G17" s="158" t="s">
        <v>65</v>
      </c>
      <c r="H17" s="160"/>
      <c r="I17" s="2"/>
      <c r="J17" s="192"/>
      <c r="K17" s="194"/>
      <c r="L17" s="195"/>
      <c r="M17" s="195"/>
      <c r="N17" s="196"/>
      <c r="O17" s="32"/>
      <c r="P17" s="28"/>
      <c r="Q17" s="28"/>
      <c r="R17" s="28"/>
      <c r="S17" s="28"/>
      <c r="T17" s="28"/>
      <c r="U17" s="33"/>
    </row>
    <row r="18" spans="1:22" ht="15.5" x14ac:dyDescent="0.25">
      <c r="A18" s="189"/>
      <c r="B18" s="175" t="s">
        <v>66</v>
      </c>
      <c r="C18" s="177"/>
      <c r="D18" s="176"/>
      <c r="E18" s="28"/>
      <c r="F18" s="201"/>
      <c r="G18" s="181" t="s">
        <v>67</v>
      </c>
      <c r="H18" s="182"/>
      <c r="I18" s="2"/>
      <c r="J18" s="192"/>
      <c r="K18" s="194"/>
      <c r="L18" s="195"/>
      <c r="M18" s="195"/>
      <c r="N18" s="196"/>
      <c r="O18" s="32"/>
      <c r="P18" s="28"/>
      <c r="Q18" s="28"/>
      <c r="R18" s="28"/>
      <c r="S18" s="28"/>
      <c r="T18" s="28"/>
      <c r="U18" s="33"/>
    </row>
    <row r="19" spans="1:22" ht="15.5" x14ac:dyDescent="0.25">
      <c r="A19" s="189"/>
      <c r="B19" s="175" t="s">
        <v>68</v>
      </c>
      <c r="C19" s="177"/>
      <c r="D19" s="176"/>
      <c r="E19" s="28"/>
      <c r="F19" s="201"/>
      <c r="G19" s="181" t="s">
        <v>69</v>
      </c>
      <c r="H19" s="182"/>
      <c r="I19" s="2"/>
      <c r="J19" s="192"/>
      <c r="K19" s="194"/>
      <c r="L19" s="195"/>
      <c r="M19" s="195"/>
      <c r="N19" s="196"/>
      <c r="O19" s="32"/>
      <c r="P19" s="28"/>
      <c r="Q19" s="28"/>
      <c r="R19" s="28"/>
      <c r="S19" s="28"/>
      <c r="T19" s="28"/>
      <c r="U19" s="33"/>
    </row>
    <row r="20" spans="1:22" ht="15.5" x14ac:dyDescent="0.25">
      <c r="A20" s="189"/>
      <c r="B20" s="172" t="s">
        <v>70</v>
      </c>
      <c r="C20" s="173"/>
      <c r="D20" s="174"/>
      <c r="E20" s="28"/>
      <c r="F20" s="201"/>
      <c r="G20" s="181" t="s">
        <v>71</v>
      </c>
      <c r="H20" s="182"/>
      <c r="I20" s="2"/>
      <c r="J20" s="192"/>
      <c r="K20" s="194"/>
      <c r="L20" s="195"/>
      <c r="M20" s="195"/>
      <c r="N20" s="196"/>
      <c r="O20" s="32"/>
      <c r="P20" s="28"/>
      <c r="Q20" s="28"/>
      <c r="R20" s="28"/>
      <c r="S20" s="28"/>
      <c r="T20" s="28"/>
      <c r="U20" s="33"/>
    </row>
    <row r="21" spans="1:22" ht="16" thickBot="1" x14ac:dyDescent="0.4">
      <c r="A21" s="189"/>
      <c r="B21" s="175" t="s">
        <v>72</v>
      </c>
      <c r="C21" s="177"/>
      <c r="D21" s="176"/>
      <c r="E21" s="28"/>
      <c r="F21" s="201"/>
      <c r="G21" s="181" t="s">
        <v>73</v>
      </c>
      <c r="H21" s="182"/>
      <c r="I21" s="2"/>
      <c r="J21" s="193"/>
      <c r="K21" s="197"/>
      <c r="L21" s="198"/>
      <c r="M21" s="198"/>
      <c r="N21" s="199"/>
      <c r="O21" s="32"/>
      <c r="P21" s="28"/>
      <c r="Q21" s="28"/>
      <c r="R21" s="28"/>
      <c r="S21" s="28"/>
      <c r="T21" s="28"/>
      <c r="U21" s="33"/>
    </row>
    <row r="22" spans="1:22" ht="15.5" x14ac:dyDescent="0.25">
      <c r="A22" s="189"/>
      <c r="B22" s="175" t="s">
        <v>74</v>
      </c>
      <c r="C22" s="177"/>
      <c r="D22" s="176"/>
      <c r="E22" s="28"/>
      <c r="F22" s="201"/>
      <c r="G22" s="181" t="s">
        <v>75</v>
      </c>
      <c r="H22" s="182"/>
      <c r="I22" s="2"/>
      <c r="J22" s="203" t="s">
        <v>6</v>
      </c>
      <c r="K22" s="175" t="s">
        <v>76</v>
      </c>
      <c r="L22" s="177"/>
      <c r="M22" s="177"/>
      <c r="N22" s="176"/>
      <c r="O22" s="32"/>
      <c r="P22" s="28"/>
      <c r="Q22" s="28"/>
      <c r="R22" s="28"/>
      <c r="S22" s="28"/>
      <c r="T22" s="28"/>
      <c r="U22" s="33"/>
    </row>
    <row r="23" spans="1:22" ht="15.5" x14ac:dyDescent="0.25">
      <c r="A23" s="189"/>
      <c r="B23" s="175" t="s">
        <v>77</v>
      </c>
      <c r="C23" s="177"/>
      <c r="D23" s="176"/>
      <c r="E23" s="28"/>
      <c r="F23" s="201"/>
      <c r="G23" s="181"/>
      <c r="H23" s="182"/>
      <c r="I23" s="2"/>
      <c r="J23" s="204"/>
      <c r="K23" s="175" t="s">
        <v>78</v>
      </c>
      <c r="L23" s="177"/>
      <c r="M23" s="177"/>
      <c r="N23" s="176"/>
      <c r="O23" s="32"/>
      <c r="P23" s="28"/>
      <c r="Q23" s="28"/>
      <c r="R23" s="28"/>
      <c r="S23" s="28"/>
      <c r="T23" s="28"/>
      <c r="U23" s="33"/>
    </row>
    <row r="24" spans="1:22" ht="15.5" x14ac:dyDescent="0.25">
      <c r="A24" s="189"/>
      <c r="B24" s="172" t="s">
        <v>79</v>
      </c>
      <c r="C24" s="173"/>
      <c r="D24" s="174"/>
      <c r="E24" s="28"/>
      <c r="F24" s="201"/>
      <c r="G24" s="181"/>
      <c r="H24" s="182"/>
      <c r="I24" s="2"/>
      <c r="J24" s="204"/>
      <c r="K24" s="175" t="s">
        <v>80</v>
      </c>
      <c r="L24" s="177"/>
      <c r="M24" s="177"/>
      <c r="N24" s="176"/>
      <c r="O24" s="32"/>
      <c r="P24" s="28"/>
      <c r="Q24" s="28"/>
      <c r="R24" s="28"/>
      <c r="S24" s="28"/>
      <c r="T24" s="28"/>
      <c r="U24" s="33"/>
    </row>
    <row r="25" spans="1:22" ht="15.5" x14ac:dyDescent="0.25">
      <c r="A25" s="189"/>
      <c r="B25" s="172" t="s">
        <v>81</v>
      </c>
      <c r="C25" s="173"/>
      <c r="D25" s="174"/>
      <c r="E25" s="28"/>
      <c r="F25" s="201"/>
      <c r="G25" s="181"/>
      <c r="H25" s="182"/>
      <c r="I25" s="2"/>
      <c r="J25" s="204"/>
      <c r="K25" s="175"/>
      <c r="L25" s="177"/>
      <c r="M25" s="177"/>
      <c r="N25" s="176"/>
      <c r="O25" s="32"/>
      <c r="P25" s="28"/>
      <c r="Q25" s="28"/>
      <c r="R25" s="28"/>
      <c r="S25" s="28"/>
      <c r="T25" s="28"/>
      <c r="U25" s="33"/>
    </row>
    <row r="26" spans="1:22" ht="16" thickBot="1" x14ac:dyDescent="0.4">
      <c r="A26" s="190"/>
      <c r="B26" s="222" t="s">
        <v>82</v>
      </c>
      <c r="C26" s="223"/>
      <c r="D26" s="224"/>
      <c r="E26" s="36"/>
      <c r="F26" s="202"/>
      <c r="G26" s="183"/>
      <c r="H26" s="185"/>
      <c r="I26" s="2"/>
      <c r="J26" s="205"/>
      <c r="K26" s="197"/>
      <c r="L26" s="198"/>
      <c r="M26" s="198"/>
      <c r="N26" s="199"/>
      <c r="O26" s="37"/>
      <c r="P26" s="38"/>
      <c r="Q26" s="38"/>
      <c r="R26" s="38"/>
      <c r="S26" s="38"/>
      <c r="T26" s="38"/>
      <c r="U26" s="39"/>
    </row>
    <row r="27" spans="1:22" ht="13.5" thickBot="1" x14ac:dyDescent="0.35">
      <c r="A27" s="12"/>
      <c r="B27" s="40"/>
      <c r="C27" s="40"/>
      <c r="D27" s="40"/>
      <c r="E27" s="2"/>
      <c r="F27" s="41"/>
      <c r="G27" s="41"/>
      <c r="H27" s="41"/>
      <c r="I27" s="2"/>
      <c r="J27" s="41"/>
      <c r="K27" s="41"/>
      <c r="L27" s="41"/>
      <c r="M27" s="41"/>
      <c r="N27" s="41"/>
      <c r="O27" s="2"/>
      <c r="P27" s="2"/>
      <c r="Q27" s="2"/>
      <c r="R27" s="2"/>
      <c r="S27" s="2"/>
      <c r="T27" s="2"/>
      <c r="U27" s="42"/>
      <c r="V27" s="43"/>
    </row>
    <row r="28" spans="1:22" ht="63" customHeight="1" thickBot="1" x14ac:dyDescent="0.3">
      <c r="A28" s="21" t="s">
        <v>6</v>
      </c>
      <c r="B28" s="22" t="s">
        <v>83</v>
      </c>
      <c r="C28" s="206" t="s">
        <v>84</v>
      </c>
      <c r="D28" s="207"/>
      <c r="E28" s="207"/>
      <c r="F28" s="207"/>
      <c r="G28" s="208"/>
      <c r="H28" s="22" t="s">
        <v>85</v>
      </c>
      <c r="I28" s="206" t="s">
        <v>86</v>
      </c>
      <c r="J28" s="207"/>
      <c r="K28" s="207"/>
      <c r="L28" s="208"/>
      <c r="M28" s="20" t="s">
        <v>87</v>
      </c>
      <c r="N28" s="209" t="s">
        <v>88</v>
      </c>
      <c r="O28" s="210"/>
      <c r="P28" s="206" t="s">
        <v>89</v>
      </c>
      <c r="Q28" s="207"/>
      <c r="R28" s="208"/>
      <c r="S28" s="213" t="s">
        <v>90</v>
      </c>
      <c r="T28" s="214"/>
      <c r="U28" s="215"/>
    </row>
    <row r="29" spans="1:22" ht="16" thickBot="1" x14ac:dyDescent="0.3">
      <c r="A29" s="44"/>
      <c r="B29" s="45"/>
      <c r="C29" s="46"/>
      <c r="D29" s="47"/>
      <c r="E29" s="47"/>
      <c r="F29" s="47"/>
      <c r="G29" s="48"/>
      <c r="H29" s="45"/>
      <c r="I29" s="46"/>
      <c r="J29" s="47"/>
      <c r="K29" s="47"/>
      <c r="L29" s="48"/>
      <c r="M29" s="46"/>
      <c r="N29" s="211"/>
      <c r="O29" s="212"/>
      <c r="P29" s="20">
        <v>1</v>
      </c>
      <c r="Q29" s="20">
        <v>2</v>
      </c>
      <c r="R29" s="20">
        <v>3</v>
      </c>
      <c r="S29" s="49">
        <v>1</v>
      </c>
      <c r="T29" s="49">
        <v>2</v>
      </c>
      <c r="U29" s="49">
        <v>3</v>
      </c>
    </row>
    <row r="30" spans="1:22" ht="30" customHeight="1" thickBot="1" x14ac:dyDescent="0.3">
      <c r="A30" s="55" t="s">
        <v>13</v>
      </c>
      <c r="B30" s="92">
        <v>1</v>
      </c>
      <c r="C30" s="288" t="s">
        <v>91</v>
      </c>
      <c r="D30" s="289"/>
      <c r="E30" s="289"/>
      <c r="F30" s="289"/>
      <c r="G30" s="290"/>
      <c r="H30" s="107" t="s">
        <v>92</v>
      </c>
      <c r="I30" s="291" t="s">
        <v>30</v>
      </c>
      <c r="J30" s="292"/>
      <c r="K30" s="292"/>
      <c r="L30" s="293"/>
      <c r="M30" s="108">
        <v>5</v>
      </c>
      <c r="N30" s="94">
        <v>1</v>
      </c>
      <c r="O30" s="95" t="s">
        <v>11</v>
      </c>
      <c r="P30" s="53" t="s">
        <v>12</v>
      </c>
      <c r="Q30" s="53" t="s">
        <v>12</v>
      </c>
      <c r="R30" s="53" t="s">
        <v>12</v>
      </c>
      <c r="S30" s="54">
        <f t="shared" ref="S30:S59" si="0">IF(P30="Y",IF(O30="D",M30*N30,IF(O30="W",M30*(N30/5),IF(O30="M",M30*(N30/22),IF(O30="Y",M30*(N30/(22*12)), "")))),0)</f>
        <v>5</v>
      </c>
      <c r="T30" s="54">
        <f t="shared" ref="T30:T59" si="1">IF(Q30="Y",IF(O30="D",M30*N30,IF(O30="W",M30*(N30/5),IF(O30="M",M30*(N30/22),IF(O30="Y",M30*(N30/(22*12)), "")))),0)</f>
        <v>5</v>
      </c>
      <c r="U30" s="54">
        <f t="shared" ref="U30:U59" si="2">IF(R30="Y",IF(O30="D",M30*N30,IF(O30="W",M30*(N30/5),IF(O30="M",M30*(N30/22),IF(O30="Y",M30*(N30/(22*12)), "")))),0)</f>
        <v>5</v>
      </c>
    </row>
    <row r="31" spans="1:22" ht="30" customHeight="1" thickBot="1" x14ac:dyDescent="0.3">
      <c r="A31" s="55" t="s">
        <v>13</v>
      </c>
      <c r="B31" s="93">
        <v>2</v>
      </c>
      <c r="C31" s="308" t="s">
        <v>93</v>
      </c>
      <c r="D31" s="309"/>
      <c r="E31" s="309"/>
      <c r="F31" s="309"/>
      <c r="G31" s="310"/>
      <c r="H31" s="110" t="s">
        <v>30</v>
      </c>
      <c r="I31" s="291" t="s">
        <v>94</v>
      </c>
      <c r="J31" s="292"/>
      <c r="K31" s="292"/>
      <c r="L31" s="293"/>
      <c r="M31" s="109">
        <v>20</v>
      </c>
      <c r="N31" s="96">
        <v>1</v>
      </c>
      <c r="O31" s="97" t="s">
        <v>15</v>
      </c>
      <c r="P31" s="53" t="s">
        <v>12</v>
      </c>
      <c r="Q31" s="53" t="s">
        <v>12</v>
      </c>
      <c r="R31" s="53" t="s">
        <v>12</v>
      </c>
      <c r="S31" s="54">
        <f t="shared" si="0"/>
        <v>4</v>
      </c>
      <c r="T31" s="54">
        <f t="shared" si="1"/>
        <v>4</v>
      </c>
      <c r="U31" s="54">
        <f t="shared" si="2"/>
        <v>4</v>
      </c>
    </row>
    <row r="32" spans="1:22" ht="30" customHeight="1" thickBot="1" x14ac:dyDescent="0.3">
      <c r="A32" s="55" t="s">
        <v>17</v>
      </c>
      <c r="B32" s="92">
        <v>3</v>
      </c>
      <c r="C32" s="319" t="s">
        <v>95</v>
      </c>
      <c r="D32" s="320"/>
      <c r="E32" s="105"/>
      <c r="F32" s="105"/>
      <c r="G32" s="106"/>
      <c r="H32" s="110" t="s">
        <v>30</v>
      </c>
      <c r="I32" s="291" t="s">
        <v>96</v>
      </c>
      <c r="J32" s="292"/>
      <c r="K32" s="292"/>
      <c r="L32" s="293"/>
      <c r="M32" s="108">
        <v>5</v>
      </c>
      <c r="N32" s="98">
        <v>1</v>
      </c>
      <c r="O32" s="99" t="s">
        <v>11</v>
      </c>
      <c r="P32" s="53" t="s">
        <v>12</v>
      </c>
      <c r="Q32" s="53" t="s">
        <v>12</v>
      </c>
      <c r="R32" s="53" t="s">
        <v>12</v>
      </c>
      <c r="S32" s="54">
        <f t="shared" si="0"/>
        <v>5</v>
      </c>
      <c r="T32" s="54">
        <f t="shared" si="1"/>
        <v>5</v>
      </c>
      <c r="U32" s="54">
        <f t="shared" si="2"/>
        <v>5</v>
      </c>
    </row>
    <row r="33" spans="1:21" ht="30" customHeight="1" thickBot="1" x14ac:dyDescent="0.3">
      <c r="A33" s="55" t="s">
        <v>17</v>
      </c>
      <c r="B33" s="92">
        <v>4</v>
      </c>
      <c r="C33" s="288" t="s">
        <v>97</v>
      </c>
      <c r="D33" s="289"/>
      <c r="E33" s="289"/>
      <c r="F33" s="289"/>
      <c r="G33" s="290"/>
      <c r="H33" s="107" t="s">
        <v>98</v>
      </c>
      <c r="I33" s="294" t="s">
        <v>99</v>
      </c>
      <c r="J33" s="295"/>
      <c r="K33" s="295"/>
      <c r="L33" s="296"/>
      <c r="M33" s="111">
        <v>15</v>
      </c>
      <c r="N33" s="96">
        <v>1</v>
      </c>
      <c r="O33" s="97" t="s">
        <v>11</v>
      </c>
      <c r="P33" s="53" t="s">
        <v>12</v>
      </c>
      <c r="Q33" s="53" t="s">
        <v>12</v>
      </c>
      <c r="R33" s="53" t="s">
        <v>12</v>
      </c>
      <c r="S33" s="54">
        <f t="shared" si="0"/>
        <v>15</v>
      </c>
      <c r="T33" s="54">
        <f t="shared" si="1"/>
        <v>15</v>
      </c>
      <c r="U33" s="54">
        <f t="shared" si="2"/>
        <v>15</v>
      </c>
    </row>
    <row r="34" spans="1:21" ht="30" customHeight="1" thickBot="1" x14ac:dyDescent="0.3">
      <c r="A34" s="55" t="s">
        <v>17</v>
      </c>
      <c r="B34" s="92">
        <v>5</v>
      </c>
      <c r="C34" s="297" t="s">
        <v>100</v>
      </c>
      <c r="D34" s="298"/>
      <c r="E34" s="298"/>
      <c r="F34" s="298"/>
      <c r="G34" s="299"/>
      <c r="H34" s="110"/>
      <c r="I34" s="291" t="s">
        <v>101</v>
      </c>
      <c r="J34" s="292"/>
      <c r="K34" s="292"/>
      <c r="L34" s="293"/>
      <c r="M34" s="112">
        <v>10</v>
      </c>
      <c r="N34" s="98">
        <v>1</v>
      </c>
      <c r="O34" s="99" t="s">
        <v>11</v>
      </c>
      <c r="P34" s="53" t="s">
        <v>12</v>
      </c>
      <c r="Q34" s="53" t="s">
        <v>12</v>
      </c>
      <c r="R34" s="53" t="s">
        <v>12</v>
      </c>
      <c r="S34" s="54">
        <f t="shared" si="0"/>
        <v>10</v>
      </c>
      <c r="T34" s="54">
        <f t="shared" si="1"/>
        <v>10</v>
      </c>
      <c r="U34" s="54">
        <f t="shared" si="2"/>
        <v>10</v>
      </c>
    </row>
    <row r="35" spans="1:21" ht="30" customHeight="1" thickBot="1" x14ac:dyDescent="0.3">
      <c r="A35" s="55" t="s">
        <v>17</v>
      </c>
      <c r="B35" s="91">
        <v>6</v>
      </c>
      <c r="C35" s="288" t="s">
        <v>102</v>
      </c>
      <c r="D35" s="289"/>
      <c r="E35" s="289"/>
      <c r="F35" s="289"/>
      <c r="G35" s="290"/>
      <c r="H35" s="113" t="s">
        <v>103</v>
      </c>
      <c r="I35" s="291" t="s">
        <v>104</v>
      </c>
      <c r="J35" s="292"/>
      <c r="K35" s="292"/>
      <c r="L35" s="293"/>
      <c r="M35" s="112">
        <v>5</v>
      </c>
      <c r="N35" s="98">
        <v>1</v>
      </c>
      <c r="O35" s="100" t="s">
        <v>15</v>
      </c>
      <c r="P35" s="53" t="s">
        <v>12</v>
      </c>
      <c r="Q35" s="53" t="s">
        <v>12</v>
      </c>
      <c r="R35" s="53" t="s">
        <v>12</v>
      </c>
      <c r="S35" s="54">
        <f t="shared" si="0"/>
        <v>1</v>
      </c>
      <c r="T35" s="54">
        <f t="shared" si="1"/>
        <v>1</v>
      </c>
      <c r="U35" s="54">
        <f t="shared" si="2"/>
        <v>1</v>
      </c>
    </row>
    <row r="36" spans="1:21" ht="30" customHeight="1" thickBot="1" x14ac:dyDescent="0.3">
      <c r="A36" s="55" t="s">
        <v>17</v>
      </c>
      <c r="B36" s="91">
        <v>7</v>
      </c>
      <c r="C36" s="288" t="s">
        <v>105</v>
      </c>
      <c r="D36" s="289"/>
      <c r="E36" s="289"/>
      <c r="F36" s="289"/>
      <c r="G36" s="290"/>
      <c r="H36" s="114" t="s">
        <v>30</v>
      </c>
      <c r="I36" s="291" t="s">
        <v>106</v>
      </c>
      <c r="J36" s="292"/>
      <c r="K36" s="292"/>
      <c r="L36" s="293"/>
      <c r="M36" s="112">
        <v>3</v>
      </c>
      <c r="N36" s="98">
        <v>5</v>
      </c>
      <c r="O36" s="99" t="s">
        <v>11</v>
      </c>
      <c r="P36" s="53" t="s">
        <v>12</v>
      </c>
      <c r="Q36" s="53" t="s">
        <v>12</v>
      </c>
      <c r="R36" s="53" t="s">
        <v>12</v>
      </c>
      <c r="S36" s="54">
        <f t="shared" si="0"/>
        <v>15</v>
      </c>
      <c r="T36" s="54">
        <f t="shared" si="1"/>
        <v>15</v>
      </c>
      <c r="U36" s="54">
        <f t="shared" si="2"/>
        <v>15</v>
      </c>
    </row>
    <row r="37" spans="1:21" ht="30" customHeight="1" thickBot="1" x14ac:dyDescent="0.3">
      <c r="A37" s="55" t="s">
        <v>17</v>
      </c>
      <c r="B37" s="92">
        <v>8</v>
      </c>
      <c r="C37" s="288" t="s">
        <v>107</v>
      </c>
      <c r="D37" s="289"/>
      <c r="E37" s="289"/>
      <c r="F37" s="289"/>
      <c r="G37" s="290"/>
      <c r="H37" s="107" t="s">
        <v>108</v>
      </c>
      <c r="I37" s="291" t="s">
        <v>109</v>
      </c>
      <c r="J37" s="292"/>
      <c r="K37" s="292"/>
      <c r="L37" s="293"/>
      <c r="M37" s="115">
        <v>440</v>
      </c>
      <c r="N37" s="98">
        <v>1</v>
      </c>
      <c r="O37" s="99" t="s">
        <v>23</v>
      </c>
      <c r="P37" s="53" t="s">
        <v>12</v>
      </c>
      <c r="Q37" s="53" t="s">
        <v>12</v>
      </c>
      <c r="R37" s="53" t="s">
        <v>12</v>
      </c>
      <c r="S37" s="54">
        <f t="shared" si="0"/>
        <v>20</v>
      </c>
      <c r="T37" s="54">
        <f t="shared" si="1"/>
        <v>20</v>
      </c>
      <c r="U37" s="54">
        <f t="shared" si="2"/>
        <v>20</v>
      </c>
    </row>
    <row r="38" spans="1:21" ht="30" customHeight="1" thickBot="1" x14ac:dyDescent="0.3">
      <c r="A38" s="55" t="s">
        <v>17</v>
      </c>
      <c r="B38" s="93">
        <v>9</v>
      </c>
      <c r="C38" s="319" t="s">
        <v>110</v>
      </c>
      <c r="D38" s="320"/>
      <c r="E38" s="320"/>
      <c r="F38" s="320"/>
      <c r="G38" s="321"/>
      <c r="H38" s="110"/>
      <c r="I38" s="294" t="s">
        <v>111</v>
      </c>
      <c r="J38" s="295"/>
      <c r="K38" s="295"/>
      <c r="L38" s="296"/>
      <c r="M38" s="116">
        <v>25</v>
      </c>
      <c r="N38" s="98">
        <v>1</v>
      </c>
      <c r="O38" s="99" t="s">
        <v>11</v>
      </c>
      <c r="P38" s="53" t="s">
        <v>12</v>
      </c>
      <c r="Q38" s="53" t="s">
        <v>12</v>
      </c>
      <c r="R38" s="53" t="s">
        <v>12</v>
      </c>
      <c r="S38" s="54">
        <f t="shared" si="0"/>
        <v>25</v>
      </c>
      <c r="T38" s="54">
        <f t="shared" si="1"/>
        <v>25</v>
      </c>
      <c r="U38" s="54">
        <f t="shared" si="2"/>
        <v>25</v>
      </c>
    </row>
    <row r="39" spans="1:21" ht="30" customHeight="1" thickBot="1" x14ac:dyDescent="0.3">
      <c r="A39" s="55" t="s">
        <v>17</v>
      </c>
      <c r="B39" s="92">
        <v>10</v>
      </c>
      <c r="C39" s="302" t="s">
        <v>112</v>
      </c>
      <c r="D39" s="303"/>
      <c r="E39" s="303"/>
      <c r="F39" s="303"/>
      <c r="G39" s="304"/>
      <c r="H39" s="107" t="s">
        <v>113</v>
      </c>
      <c r="I39" s="305" t="s">
        <v>114</v>
      </c>
      <c r="J39" s="306"/>
      <c r="K39" s="306"/>
      <c r="L39" s="307"/>
      <c r="M39" s="116">
        <v>40</v>
      </c>
      <c r="N39" s="98">
        <v>1</v>
      </c>
      <c r="O39" s="100" t="s">
        <v>15</v>
      </c>
      <c r="P39" s="53" t="s">
        <v>12</v>
      </c>
      <c r="Q39" s="53" t="s">
        <v>12</v>
      </c>
      <c r="R39" s="53" t="s">
        <v>12</v>
      </c>
      <c r="S39" s="69">
        <f t="shared" si="0"/>
        <v>8</v>
      </c>
      <c r="T39" s="54">
        <f t="shared" si="1"/>
        <v>8</v>
      </c>
      <c r="U39" s="54">
        <f t="shared" si="2"/>
        <v>8</v>
      </c>
    </row>
    <row r="40" spans="1:21" ht="30" customHeight="1" thickBot="1" x14ac:dyDescent="0.3">
      <c r="A40" s="55" t="s">
        <v>17</v>
      </c>
      <c r="B40" s="92">
        <v>11</v>
      </c>
      <c r="C40" s="288" t="s">
        <v>115</v>
      </c>
      <c r="D40" s="289"/>
      <c r="E40" s="289"/>
      <c r="F40" s="289"/>
      <c r="G40" s="290"/>
      <c r="H40" s="120"/>
      <c r="I40" s="291" t="s">
        <v>116</v>
      </c>
      <c r="J40" s="292"/>
      <c r="K40" s="292"/>
      <c r="L40" s="293"/>
      <c r="M40" s="112">
        <v>10</v>
      </c>
      <c r="N40" s="98">
        <v>8</v>
      </c>
      <c r="O40" s="99" t="s">
        <v>11</v>
      </c>
      <c r="P40" s="53" t="s">
        <v>12</v>
      </c>
      <c r="Q40" s="53" t="s">
        <v>12</v>
      </c>
      <c r="R40" s="53" t="s">
        <v>12</v>
      </c>
      <c r="S40" s="69">
        <f t="shared" si="0"/>
        <v>80</v>
      </c>
      <c r="T40" s="54">
        <f t="shared" si="1"/>
        <v>80</v>
      </c>
      <c r="U40" s="54">
        <f t="shared" si="2"/>
        <v>80</v>
      </c>
    </row>
    <row r="41" spans="1:21" ht="30" customHeight="1" thickBot="1" x14ac:dyDescent="0.3">
      <c r="A41" s="55" t="s">
        <v>24</v>
      </c>
      <c r="B41" s="92">
        <v>12</v>
      </c>
      <c r="C41" s="288" t="s">
        <v>117</v>
      </c>
      <c r="D41" s="289"/>
      <c r="E41" s="289"/>
      <c r="F41" s="289"/>
      <c r="G41" s="290"/>
      <c r="H41" s="110" t="s">
        <v>30</v>
      </c>
      <c r="I41" s="291" t="s">
        <v>118</v>
      </c>
      <c r="J41" s="292"/>
      <c r="K41" s="292"/>
      <c r="L41" s="293"/>
      <c r="M41" s="121">
        <v>10</v>
      </c>
      <c r="N41" s="98">
        <v>4</v>
      </c>
      <c r="O41" s="99" t="s">
        <v>11</v>
      </c>
      <c r="P41" s="53" t="s">
        <v>12</v>
      </c>
      <c r="Q41" s="53" t="s">
        <v>12</v>
      </c>
      <c r="R41" s="53" t="s">
        <v>12</v>
      </c>
      <c r="S41" s="69">
        <f t="shared" si="0"/>
        <v>40</v>
      </c>
      <c r="T41" s="54">
        <f t="shared" si="1"/>
        <v>40</v>
      </c>
      <c r="U41" s="54">
        <f t="shared" si="2"/>
        <v>40</v>
      </c>
    </row>
    <row r="42" spans="1:21" ht="30" customHeight="1" thickBot="1" x14ac:dyDescent="0.3">
      <c r="A42" s="55" t="s">
        <v>24</v>
      </c>
      <c r="B42" s="91">
        <v>13</v>
      </c>
      <c r="C42" s="117" t="s">
        <v>119</v>
      </c>
      <c r="D42" s="118"/>
      <c r="E42" s="118"/>
      <c r="F42" s="118"/>
      <c r="G42" s="119"/>
      <c r="H42" s="107" t="s">
        <v>120</v>
      </c>
      <c r="I42" s="316" t="s">
        <v>121</v>
      </c>
      <c r="J42" s="317"/>
      <c r="K42" s="317"/>
      <c r="L42" s="318"/>
      <c r="M42" s="109">
        <v>5</v>
      </c>
      <c r="N42" s="98">
        <v>1</v>
      </c>
      <c r="O42" s="99" t="s">
        <v>11</v>
      </c>
      <c r="P42" s="53" t="s">
        <v>12</v>
      </c>
      <c r="Q42" s="53" t="s">
        <v>12</v>
      </c>
      <c r="R42" s="53" t="s">
        <v>12</v>
      </c>
      <c r="S42" s="69">
        <f t="shared" si="0"/>
        <v>5</v>
      </c>
      <c r="T42" s="54">
        <f t="shared" si="1"/>
        <v>5</v>
      </c>
      <c r="U42" s="54">
        <f t="shared" si="2"/>
        <v>5</v>
      </c>
    </row>
    <row r="43" spans="1:21" ht="30" customHeight="1" thickBot="1" x14ac:dyDescent="0.3">
      <c r="A43" s="55" t="s">
        <v>24</v>
      </c>
      <c r="B43" s="91">
        <v>14</v>
      </c>
      <c r="C43" s="302" t="s">
        <v>122</v>
      </c>
      <c r="D43" s="303"/>
      <c r="E43" s="303"/>
      <c r="F43" s="303"/>
      <c r="G43" s="304"/>
      <c r="H43" s="113" t="s">
        <v>123</v>
      </c>
      <c r="I43" s="291" t="s">
        <v>124</v>
      </c>
      <c r="J43" s="292"/>
      <c r="K43" s="292"/>
      <c r="L43" s="293"/>
      <c r="M43" s="112">
        <v>10</v>
      </c>
      <c r="N43" s="98">
        <v>1</v>
      </c>
      <c r="O43" s="99" t="s">
        <v>15</v>
      </c>
      <c r="P43" s="53" t="s">
        <v>12</v>
      </c>
      <c r="Q43" s="53" t="s">
        <v>12</v>
      </c>
      <c r="R43" s="53" t="s">
        <v>12</v>
      </c>
      <c r="S43" s="69">
        <f t="shared" si="0"/>
        <v>2</v>
      </c>
      <c r="T43" s="54">
        <f t="shared" si="1"/>
        <v>2</v>
      </c>
      <c r="U43" s="54">
        <f t="shared" si="2"/>
        <v>2</v>
      </c>
    </row>
    <row r="44" spans="1:21" ht="30" customHeight="1" thickBot="1" x14ac:dyDescent="0.3">
      <c r="A44" s="55" t="s">
        <v>24</v>
      </c>
      <c r="B44" s="92">
        <v>15</v>
      </c>
      <c r="C44" s="288" t="s">
        <v>125</v>
      </c>
      <c r="D44" s="289"/>
      <c r="E44" s="289"/>
      <c r="F44" s="289"/>
      <c r="G44" s="290"/>
      <c r="H44" s="110" t="s">
        <v>30</v>
      </c>
      <c r="I44" s="291" t="s">
        <v>126</v>
      </c>
      <c r="J44" s="292"/>
      <c r="K44" s="292"/>
      <c r="L44" s="293"/>
      <c r="M44" s="112">
        <v>10</v>
      </c>
      <c r="N44" s="96">
        <v>5</v>
      </c>
      <c r="O44" s="97" t="s">
        <v>11</v>
      </c>
      <c r="P44" s="53" t="s">
        <v>12</v>
      </c>
      <c r="Q44" s="53" t="s">
        <v>12</v>
      </c>
      <c r="R44" s="53" t="s">
        <v>12</v>
      </c>
      <c r="S44" s="69">
        <f t="shared" si="0"/>
        <v>50</v>
      </c>
      <c r="T44" s="54">
        <f t="shared" si="1"/>
        <v>50</v>
      </c>
      <c r="U44" s="54">
        <f t="shared" si="2"/>
        <v>50</v>
      </c>
    </row>
    <row r="45" spans="1:21" ht="30" customHeight="1" thickBot="1" x14ac:dyDescent="0.3">
      <c r="A45" s="55" t="s">
        <v>24</v>
      </c>
      <c r="B45" s="93">
        <v>16</v>
      </c>
      <c r="C45" s="288" t="s">
        <v>127</v>
      </c>
      <c r="D45" s="289"/>
      <c r="E45" s="289"/>
      <c r="F45" s="289"/>
      <c r="G45" s="290"/>
      <c r="H45" s="107" t="s">
        <v>128</v>
      </c>
      <c r="I45" s="291" t="s">
        <v>129</v>
      </c>
      <c r="J45" s="292"/>
      <c r="K45" s="292"/>
      <c r="L45" s="293"/>
      <c r="M45" s="108">
        <v>30</v>
      </c>
      <c r="N45" s="98">
        <v>1</v>
      </c>
      <c r="O45" s="99" t="s">
        <v>15</v>
      </c>
      <c r="P45" s="53" t="s">
        <v>12</v>
      </c>
      <c r="Q45" s="53" t="s">
        <v>12</v>
      </c>
      <c r="R45" s="53" t="s">
        <v>12</v>
      </c>
      <c r="S45" s="69">
        <f t="shared" si="0"/>
        <v>6</v>
      </c>
      <c r="T45" s="54">
        <f t="shared" si="1"/>
        <v>6</v>
      </c>
      <c r="U45" s="54">
        <f t="shared" si="2"/>
        <v>6</v>
      </c>
    </row>
    <row r="46" spans="1:21" ht="30" customHeight="1" thickBot="1" x14ac:dyDescent="0.3">
      <c r="A46" s="55" t="s">
        <v>24</v>
      </c>
      <c r="B46" s="92">
        <v>17</v>
      </c>
      <c r="C46" s="288" t="s">
        <v>130</v>
      </c>
      <c r="D46" s="289"/>
      <c r="E46" s="289"/>
      <c r="F46" s="289"/>
      <c r="G46" s="290"/>
      <c r="H46" s="110"/>
      <c r="I46" s="291" t="s">
        <v>131</v>
      </c>
      <c r="J46" s="292"/>
      <c r="K46" s="292"/>
      <c r="L46" s="293"/>
      <c r="M46" s="112">
        <v>5</v>
      </c>
      <c r="N46" s="98">
        <v>1</v>
      </c>
      <c r="O46" s="99" t="s">
        <v>11</v>
      </c>
      <c r="P46" s="53" t="s">
        <v>12</v>
      </c>
      <c r="Q46" s="53" t="s">
        <v>12</v>
      </c>
      <c r="R46" s="53" t="s">
        <v>12</v>
      </c>
      <c r="S46" s="54">
        <f t="shared" si="0"/>
        <v>5</v>
      </c>
      <c r="T46" s="54">
        <f t="shared" si="1"/>
        <v>5</v>
      </c>
      <c r="U46" s="54">
        <f t="shared" si="2"/>
        <v>5</v>
      </c>
    </row>
    <row r="47" spans="1:21" ht="30" customHeight="1" thickBot="1" x14ac:dyDescent="0.3">
      <c r="A47" s="122" t="s">
        <v>24</v>
      </c>
      <c r="B47" s="91">
        <v>18</v>
      </c>
      <c r="C47" s="314" t="s">
        <v>132</v>
      </c>
      <c r="D47" s="314"/>
      <c r="E47" s="314"/>
      <c r="F47" s="314"/>
      <c r="G47" s="314"/>
      <c r="H47" s="123" t="s">
        <v>133</v>
      </c>
      <c r="I47" s="291" t="s">
        <v>30</v>
      </c>
      <c r="J47" s="292"/>
      <c r="K47" s="292"/>
      <c r="L47" s="293"/>
      <c r="M47" s="116">
        <v>5</v>
      </c>
      <c r="N47" s="98">
        <v>1</v>
      </c>
      <c r="O47" s="99" t="s">
        <v>11</v>
      </c>
      <c r="P47" s="53" t="s">
        <v>12</v>
      </c>
      <c r="Q47" s="53" t="s">
        <v>12</v>
      </c>
      <c r="R47" s="53" t="s">
        <v>12</v>
      </c>
      <c r="S47" s="54">
        <f t="shared" si="0"/>
        <v>5</v>
      </c>
      <c r="T47" s="54">
        <f t="shared" si="1"/>
        <v>5</v>
      </c>
      <c r="U47" s="54">
        <f t="shared" si="2"/>
        <v>5</v>
      </c>
    </row>
    <row r="48" spans="1:21" ht="30" customHeight="1" thickBot="1" x14ac:dyDescent="0.3">
      <c r="A48" s="122" t="s">
        <v>24</v>
      </c>
      <c r="B48" s="92">
        <v>19</v>
      </c>
      <c r="C48" s="315" t="s">
        <v>134</v>
      </c>
      <c r="D48" s="315"/>
      <c r="E48" s="315"/>
      <c r="F48" s="315"/>
      <c r="G48" s="315"/>
      <c r="H48" s="123" t="s">
        <v>135</v>
      </c>
      <c r="I48" s="294"/>
      <c r="J48" s="295"/>
      <c r="K48" s="295"/>
      <c r="L48" s="296"/>
      <c r="M48" s="124">
        <v>7</v>
      </c>
      <c r="N48" s="98">
        <v>10</v>
      </c>
      <c r="O48" s="99" t="s">
        <v>15</v>
      </c>
      <c r="P48" s="53" t="s">
        <v>12</v>
      </c>
      <c r="Q48" s="53" t="s">
        <v>12</v>
      </c>
      <c r="R48" s="53" t="s">
        <v>12</v>
      </c>
      <c r="S48" s="54">
        <f t="shared" si="0"/>
        <v>14</v>
      </c>
      <c r="T48" s="54">
        <f t="shared" si="1"/>
        <v>14</v>
      </c>
      <c r="U48" s="54">
        <f t="shared" si="2"/>
        <v>14</v>
      </c>
    </row>
    <row r="49" spans="1:21" ht="30" customHeight="1" thickBot="1" x14ac:dyDescent="0.3">
      <c r="A49" s="125" t="s">
        <v>28</v>
      </c>
      <c r="B49" s="91">
        <v>20</v>
      </c>
      <c r="C49" s="308" t="s">
        <v>136</v>
      </c>
      <c r="D49" s="309"/>
      <c r="E49" s="309"/>
      <c r="F49" s="309"/>
      <c r="G49" s="310"/>
      <c r="H49" s="107" t="s">
        <v>137</v>
      </c>
      <c r="I49" s="291" t="s">
        <v>138</v>
      </c>
      <c r="J49" s="292"/>
      <c r="K49" s="292"/>
      <c r="L49" s="293"/>
      <c r="M49" s="126">
        <v>40</v>
      </c>
      <c r="N49" s="98">
        <v>1</v>
      </c>
      <c r="O49" s="99" t="s">
        <v>11</v>
      </c>
      <c r="P49" s="53" t="s">
        <v>12</v>
      </c>
      <c r="Q49" s="53" t="s">
        <v>12</v>
      </c>
      <c r="R49" s="53" t="s">
        <v>12</v>
      </c>
      <c r="S49" s="54">
        <f t="shared" si="0"/>
        <v>40</v>
      </c>
      <c r="T49" s="54">
        <f t="shared" si="1"/>
        <v>40</v>
      </c>
      <c r="U49" s="54">
        <f t="shared" si="2"/>
        <v>40</v>
      </c>
    </row>
    <row r="50" spans="1:21" ht="30" customHeight="1" thickBot="1" x14ac:dyDescent="0.3">
      <c r="A50" s="55" t="s">
        <v>28</v>
      </c>
      <c r="B50" s="91">
        <v>21</v>
      </c>
      <c r="C50" s="308" t="s">
        <v>139</v>
      </c>
      <c r="D50" s="309"/>
      <c r="E50" s="309"/>
      <c r="F50" s="309"/>
      <c r="G50" s="310"/>
      <c r="H50" s="110"/>
      <c r="I50" s="311" t="s">
        <v>140</v>
      </c>
      <c r="J50" s="312"/>
      <c r="K50" s="312"/>
      <c r="L50" s="313"/>
      <c r="M50" s="126">
        <v>5</v>
      </c>
      <c r="N50" s="101">
        <v>1</v>
      </c>
      <c r="O50" s="102" t="s">
        <v>11</v>
      </c>
      <c r="P50" s="53" t="s">
        <v>12</v>
      </c>
      <c r="Q50" s="53" t="s">
        <v>12</v>
      </c>
      <c r="R50" s="53" t="s">
        <v>12</v>
      </c>
      <c r="S50" s="54">
        <f t="shared" si="0"/>
        <v>5</v>
      </c>
      <c r="T50" s="54">
        <f t="shared" si="1"/>
        <v>5</v>
      </c>
      <c r="U50" s="54">
        <f t="shared" si="2"/>
        <v>5</v>
      </c>
    </row>
    <row r="51" spans="1:21" ht="30" customHeight="1" thickBot="1" x14ac:dyDescent="0.3">
      <c r="A51" s="55" t="s">
        <v>28</v>
      </c>
      <c r="B51" s="92">
        <v>22</v>
      </c>
      <c r="C51" s="288" t="s">
        <v>141</v>
      </c>
      <c r="D51" s="289"/>
      <c r="E51" s="289"/>
      <c r="F51" s="289"/>
      <c r="G51" s="290"/>
      <c r="H51" s="107" t="s">
        <v>142</v>
      </c>
      <c r="I51" s="291" t="s">
        <v>101</v>
      </c>
      <c r="J51" s="292"/>
      <c r="K51" s="292"/>
      <c r="L51" s="293"/>
      <c r="M51" s="112">
        <v>2</v>
      </c>
      <c r="N51" s="103">
        <v>10</v>
      </c>
      <c r="O51" s="99" t="s">
        <v>11</v>
      </c>
      <c r="P51" s="53" t="s">
        <v>12</v>
      </c>
      <c r="Q51" s="53" t="s">
        <v>12</v>
      </c>
      <c r="R51" s="53" t="s">
        <v>12</v>
      </c>
      <c r="S51" s="54">
        <f t="shared" si="0"/>
        <v>20</v>
      </c>
      <c r="T51" s="54">
        <f t="shared" si="1"/>
        <v>20</v>
      </c>
      <c r="U51" s="54">
        <f t="shared" si="2"/>
        <v>20</v>
      </c>
    </row>
    <row r="52" spans="1:21" ht="30" customHeight="1" thickBot="1" x14ac:dyDescent="0.3">
      <c r="A52" s="55" t="s">
        <v>28</v>
      </c>
      <c r="B52" s="92">
        <v>23</v>
      </c>
      <c r="C52" s="302" t="s">
        <v>143</v>
      </c>
      <c r="D52" s="303"/>
      <c r="E52" s="303"/>
      <c r="F52" s="303"/>
      <c r="G52" s="304"/>
      <c r="H52" s="110"/>
      <c r="I52" s="305" t="s">
        <v>144</v>
      </c>
      <c r="J52" s="306"/>
      <c r="K52" s="306"/>
      <c r="L52" s="307"/>
      <c r="M52" s="116">
        <v>30</v>
      </c>
      <c r="N52" s="98">
        <v>1</v>
      </c>
      <c r="O52" s="99" t="s">
        <v>15</v>
      </c>
      <c r="P52" s="53" t="s">
        <v>12</v>
      </c>
      <c r="Q52" s="53" t="s">
        <v>12</v>
      </c>
      <c r="R52" s="53" t="s">
        <v>12</v>
      </c>
      <c r="S52" s="54">
        <f t="shared" si="0"/>
        <v>6</v>
      </c>
      <c r="T52" s="54">
        <f t="shared" si="1"/>
        <v>6</v>
      </c>
      <c r="U52" s="54">
        <f t="shared" si="2"/>
        <v>6</v>
      </c>
    </row>
    <row r="53" spans="1:21" ht="30" customHeight="1" thickBot="1" x14ac:dyDescent="0.3">
      <c r="A53" s="55" t="s">
        <v>28</v>
      </c>
      <c r="B53" s="91">
        <v>24</v>
      </c>
      <c r="C53" s="288" t="s">
        <v>145</v>
      </c>
      <c r="D53" s="289"/>
      <c r="E53" s="289"/>
      <c r="F53" s="289"/>
      <c r="G53" s="290"/>
      <c r="H53" s="113" t="s">
        <v>146</v>
      </c>
      <c r="I53" s="291" t="s">
        <v>147</v>
      </c>
      <c r="J53" s="292"/>
      <c r="K53" s="292"/>
      <c r="L53" s="293"/>
      <c r="M53" s="112">
        <v>30</v>
      </c>
      <c r="N53" s="98">
        <v>1</v>
      </c>
      <c r="O53" s="99" t="s">
        <v>15</v>
      </c>
      <c r="P53" s="53" t="s">
        <v>12</v>
      </c>
      <c r="Q53" s="53" t="s">
        <v>12</v>
      </c>
      <c r="R53" s="53" t="s">
        <v>12</v>
      </c>
      <c r="S53" s="54">
        <f t="shared" si="0"/>
        <v>6</v>
      </c>
      <c r="T53" s="54">
        <f t="shared" si="1"/>
        <v>6</v>
      </c>
      <c r="U53" s="54">
        <f t="shared" si="2"/>
        <v>6</v>
      </c>
    </row>
    <row r="54" spans="1:21" ht="30" customHeight="1" thickBot="1" x14ac:dyDescent="0.3">
      <c r="A54" s="55" t="s">
        <v>28</v>
      </c>
      <c r="B54" s="91">
        <v>25</v>
      </c>
      <c r="C54" s="288" t="s">
        <v>148</v>
      </c>
      <c r="D54" s="289"/>
      <c r="E54" s="289"/>
      <c r="F54" s="289"/>
      <c r="G54" s="290"/>
      <c r="H54" s="113" t="s">
        <v>149</v>
      </c>
      <c r="I54" s="291" t="s">
        <v>150</v>
      </c>
      <c r="J54" s="292"/>
      <c r="K54" s="292"/>
      <c r="L54" s="293"/>
      <c r="M54" s="112">
        <v>5</v>
      </c>
      <c r="N54" s="98">
        <v>1</v>
      </c>
      <c r="O54" s="99" t="s">
        <v>15</v>
      </c>
      <c r="P54" s="53" t="s">
        <v>12</v>
      </c>
      <c r="Q54" s="53" t="s">
        <v>12</v>
      </c>
      <c r="R54" s="53" t="s">
        <v>12</v>
      </c>
      <c r="S54" s="54">
        <f t="shared" si="0"/>
        <v>1</v>
      </c>
      <c r="T54" s="54">
        <f t="shared" si="1"/>
        <v>1</v>
      </c>
      <c r="U54" s="54">
        <f t="shared" si="2"/>
        <v>1</v>
      </c>
    </row>
    <row r="55" spans="1:21" ht="30" customHeight="1" thickBot="1" x14ac:dyDescent="0.3">
      <c r="A55" s="55" t="s">
        <v>28</v>
      </c>
      <c r="B55" s="91">
        <v>26</v>
      </c>
      <c r="C55" s="288" t="s">
        <v>151</v>
      </c>
      <c r="D55" s="289"/>
      <c r="E55" s="289"/>
      <c r="F55" s="289"/>
      <c r="G55" s="290"/>
      <c r="H55" s="114" t="s">
        <v>30</v>
      </c>
      <c r="I55" s="291" t="s">
        <v>152</v>
      </c>
      <c r="J55" s="292"/>
      <c r="K55" s="292"/>
      <c r="L55" s="293"/>
      <c r="M55" s="112">
        <v>5</v>
      </c>
      <c r="N55" s="98">
        <v>1</v>
      </c>
      <c r="O55" s="99" t="s">
        <v>15</v>
      </c>
      <c r="P55" s="53" t="s">
        <v>12</v>
      </c>
      <c r="Q55" s="53" t="s">
        <v>12</v>
      </c>
      <c r="R55" s="53" t="s">
        <v>12</v>
      </c>
      <c r="S55" s="54">
        <f t="shared" si="0"/>
        <v>1</v>
      </c>
      <c r="T55" s="54">
        <f t="shared" si="1"/>
        <v>1</v>
      </c>
      <c r="U55" s="54">
        <f t="shared" si="2"/>
        <v>1</v>
      </c>
    </row>
    <row r="56" spans="1:21" ht="30" customHeight="1" thickBot="1" x14ac:dyDescent="0.3">
      <c r="A56" s="55" t="s">
        <v>28</v>
      </c>
      <c r="B56" s="92">
        <v>27</v>
      </c>
      <c r="C56" s="297" t="s">
        <v>153</v>
      </c>
      <c r="D56" s="298"/>
      <c r="E56" s="298"/>
      <c r="F56" s="298"/>
      <c r="G56" s="299"/>
      <c r="H56" s="107" t="s">
        <v>154</v>
      </c>
      <c r="I56" s="294" t="s">
        <v>155</v>
      </c>
      <c r="J56" s="295"/>
      <c r="K56" s="295"/>
      <c r="L56" s="296"/>
      <c r="M56" s="116">
        <v>120</v>
      </c>
      <c r="N56" s="98">
        <v>4</v>
      </c>
      <c r="O56" s="99" t="s">
        <v>12</v>
      </c>
      <c r="P56" s="53" t="s">
        <v>12</v>
      </c>
      <c r="Q56" s="53" t="s">
        <v>12</v>
      </c>
      <c r="R56" s="53" t="s">
        <v>12</v>
      </c>
      <c r="S56" s="54">
        <f t="shared" si="0"/>
        <v>1.8181818181818183</v>
      </c>
      <c r="T56" s="54">
        <f t="shared" si="1"/>
        <v>1.8181818181818183</v>
      </c>
      <c r="U56" s="54">
        <f t="shared" si="2"/>
        <v>1.8181818181818183</v>
      </c>
    </row>
    <row r="57" spans="1:21" ht="30" customHeight="1" thickBot="1" x14ac:dyDescent="0.3">
      <c r="A57" s="55" t="s">
        <v>31</v>
      </c>
      <c r="B57" s="91">
        <v>28</v>
      </c>
      <c r="C57" s="288" t="s">
        <v>156</v>
      </c>
      <c r="D57" s="289"/>
      <c r="E57" s="289"/>
      <c r="F57" s="289"/>
      <c r="G57" s="290"/>
      <c r="H57" s="110"/>
      <c r="I57" s="294" t="s">
        <v>157</v>
      </c>
      <c r="J57" s="295"/>
      <c r="K57" s="295"/>
      <c r="L57" s="296"/>
      <c r="M57" s="116">
        <v>10</v>
      </c>
      <c r="N57" s="98">
        <v>1</v>
      </c>
      <c r="O57" s="99" t="s">
        <v>11</v>
      </c>
      <c r="P57" s="53" t="s">
        <v>12</v>
      </c>
      <c r="Q57" s="53" t="s">
        <v>12</v>
      </c>
      <c r="R57" s="53" t="s">
        <v>12</v>
      </c>
      <c r="S57" s="54">
        <f t="shared" si="0"/>
        <v>10</v>
      </c>
      <c r="T57" s="54">
        <f t="shared" si="1"/>
        <v>10</v>
      </c>
      <c r="U57" s="54">
        <f t="shared" si="2"/>
        <v>10</v>
      </c>
    </row>
    <row r="58" spans="1:21" ht="30" customHeight="1" thickBot="1" x14ac:dyDescent="0.3">
      <c r="A58" s="55" t="s">
        <v>31</v>
      </c>
      <c r="B58" s="91">
        <v>29</v>
      </c>
      <c r="C58" s="288" t="s">
        <v>158</v>
      </c>
      <c r="D58" s="289"/>
      <c r="E58" s="289"/>
      <c r="F58" s="289"/>
      <c r="G58" s="290"/>
      <c r="H58" s="107" t="s">
        <v>159</v>
      </c>
      <c r="I58" s="291" t="s">
        <v>160</v>
      </c>
      <c r="J58" s="292"/>
      <c r="K58" s="292"/>
      <c r="L58" s="293"/>
      <c r="M58" s="112">
        <v>15</v>
      </c>
      <c r="N58" s="103">
        <v>1</v>
      </c>
      <c r="O58" s="104" t="s">
        <v>11</v>
      </c>
      <c r="P58" s="53" t="s">
        <v>12</v>
      </c>
      <c r="Q58" s="53" t="s">
        <v>12</v>
      </c>
      <c r="R58" s="53" t="s">
        <v>12</v>
      </c>
      <c r="S58" s="54">
        <f t="shared" si="0"/>
        <v>15</v>
      </c>
      <c r="T58" s="54">
        <f t="shared" si="1"/>
        <v>15</v>
      </c>
      <c r="U58" s="54">
        <f t="shared" si="2"/>
        <v>15</v>
      </c>
    </row>
    <row r="59" spans="1:21" ht="30" customHeight="1" thickBot="1" x14ac:dyDescent="0.3">
      <c r="A59" s="55" t="s">
        <v>32</v>
      </c>
      <c r="B59" s="91">
        <v>30</v>
      </c>
      <c r="C59" s="288" t="s">
        <v>161</v>
      </c>
      <c r="D59" s="289"/>
      <c r="E59" s="289"/>
      <c r="F59" s="289"/>
      <c r="G59" s="290"/>
      <c r="H59" s="120" t="s">
        <v>30</v>
      </c>
      <c r="I59" s="294" t="s">
        <v>162</v>
      </c>
      <c r="J59" s="295"/>
      <c r="K59" s="295"/>
      <c r="L59" s="296"/>
      <c r="M59" s="112">
        <v>5</v>
      </c>
      <c r="N59" s="98">
        <v>1</v>
      </c>
      <c r="O59" s="99" t="s">
        <v>15</v>
      </c>
      <c r="P59" s="53" t="s">
        <v>12</v>
      </c>
      <c r="Q59" s="53" t="s">
        <v>12</v>
      </c>
      <c r="R59" s="53" t="s">
        <v>12</v>
      </c>
      <c r="S59" s="54">
        <f t="shared" si="0"/>
        <v>1</v>
      </c>
      <c r="T59" s="54">
        <f t="shared" si="1"/>
        <v>1</v>
      </c>
      <c r="U59" s="54">
        <f t="shared" si="2"/>
        <v>1</v>
      </c>
    </row>
    <row r="60" spans="1:21" ht="16" thickBot="1" x14ac:dyDescent="0.3">
      <c r="A60" s="127"/>
      <c r="B60" s="128"/>
      <c r="C60" s="300"/>
      <c r="D60" s="300"/>
      <c r="E60" s="300"/>
      <c r="F60" s="300"/>
      <c r="G60" s="300"/>
      <c r="H60" s="129"/>
      <c r="I60" s="301"/>
      <c r="J60" s="301"/>
      <c r="K60" s="301"/>
      <c r="L60" s="301"/>
      <c r="M60" s="130"/>
      <c r="N60" s="131"/>
      <c r="O60" s="79"/>
      <c r="P60" s="79"/>
      <c r="Q60" s="79"/>
      <c r="R60" s="79"/>
      <c r="S60" s="80">
        <f>SUM(S30:S59)+SUM('J1-Page2'!S30:S59)</f>
        <v>427.41818181818184</v>
      </c>
      <c r="T60" s="80">
        <f>SUM(T30:T59)+SUM('J1-Page2'!T30:T59)</f>
        <v>427.41818181818184</v>
      </c>
      <c r="U60" s="80">
        <f>SUM(U30:U59)+SUM('J1-Page2'!U30:U59)</f>
        <v>430.41818181818184</v>
      </c>
    </row>
    <row r="61" spans="1:21" ht="16" thickBot="1" x14ac:dyDescent="0.3">
      <c r="A61" s="246" t="s">
        <v>163</v>
      </c>
      <c r="B61" s="247"/>
      <c r="C61" s="247"/>
      <c r="D61" s="247"/>
      <c r="E61" s="247"/>
      <c r="F61" s="247"/>
      <c r="G61" s="247"/>
      <c r="H61" s="247"/>
      <c r="I61" s="248"/>
      <c r="J61" s="249" t="s">
        <v>164</v>
      </c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1"/>
    </row>
    <row r="62" spans="1:21" ht="16" thickBot="1" x14ac:dyDescent="0.3">
      <c r="A62" s="206" t="s">
        <v>165</v>
      </c>
      <c r="B62" s="208"/>
      <c r="C62" s="262" t="s">
        <v>25</v>
      </c>
      <c r="D62" s="263"/>
      <c r="E62" s="264" t="s">
        <v>166</v>
      </c>
      <c r="F62" s="265"/>
      <c r="G62" s="266"/>
      <c r="H62" s="267"/>
      <c r="I62" s="268"/>
      <c r="J62" s="6" t="s">
        <v>21</v>
      </c>
      <c r="K62" s="5"/>
      <c r="L62" s="6" t="s">
        <v>167</v>
      </c>
      <c r="M62" s="15"/>
      <c r="N62" s="269" t="s">
        <v>168</v>
      </c>
      <c r="O62" s="270"/>
      <c r="P62" s="270"/>
      <c r="Q62" s="270"/>
      <c r="R62" s="270"/>
      <c r="S62" s="270"/>
      <c r="T62" s="270"/>
      <c r="U62" s="271"/>
    </row>
    <row r="63" spans="1:21" ht="16" customHeight="1" thickBot="1" x14ac:dyDescent="0.3">
      <c r="A63" s="272">
        <v>1</v>
      </c>
      <c r="B63" s="4" t="s">
        <v>169</v>
      </c>
      <c r="C63" s="274"/>
      <c r="D63" s="275"/>
      <c r="E63" s="276"/>
      <c r="F63" s="277"/>
      <c r="G63" s="278"/>
      <c r="H63" s="276"/>
      <c r="I63" s="278"/>
      <c r="J63" s="260">
        <v>45314</v>
      </c>
      <c r="K63" s="261"/>
      <c r="L63" s="252" t="s">
        <v>170</v>
      </c>
      <c r="M63" s="253"/>
      <c r="N63" s="252" t="s">
        <v>171</v>
      </c>
      <c r="O63" s="254"/>
      <c r="P63" s="254"/>
      <c r="Q63" s="254"/>
      <c r="R63" s="254"/>
      <c r="S63" s="254"/>
      <c r="T63" s="254"/>
      <c r="U63" s="253"/>
    </row>
    <row r="64" spans="1:21" ht="16" customHeight="1" thickBot="1" x14ac:dyDescent="0.3">
      <c r="A64" s="273"/>
      <c r="B64" s="3" t="s">
        <v>172</v>
      </c>
      <c r="C64" s="255"/>
      <c r="D64" s="256"/>
      <c r="E64" s="276"/>
      <c r="F64" s="277"/>
      <c r="G64" s="278"/>
      <c r="H64" s="257"/>
      <c r="I64" s="259"/>
      <c r="J64" s="260">
        <v>45482</v>
      </c>
      <c r="K64" s="261"/>
      <c r="L64" s="252" t="s">
        <v>170</v>
      </c>
      <c r="M64" s="253"/>
      <c r="N64" s="252" t="s">
        <v>173</v>
      </c>
      <c r="O64" s="254"/>
      <c r="P64" s="254"/>
      <c r="Q64" s="254"/>
      <c r="R64" s="254"/>
      <c r="S64" s="254"/>
      <c r="T64" s="254"/>
      <c r="U64" s="253"/>
    </row>
    <row r="65" spans="1:21" ht="16" customHeight="1" thickBot="1" x14ac:dyDescent="0.3">
      <c r="A65" s="272">
        <v>2</v>
      </c>
      <c r="B65" s="4" t="s">
        <v>169</v>
      </c>
      <c r="C65" s="274"/>
      <c r="D65" s="275"/>
      <c r="H65" s="276"/>
      <c r="I65" s="278"/>
      <c r="J65" s="282">
        <v>45710</v>
      </c>
      <c r="K65" s="283"/>
      <c r="L65" s="252" t="s">
        <v>170</v>
      </c>
      <c r="M65" s="253"/>
      <c r="N65" s="279" t="s">
        <v>174</v>
      </c>
      <c r="O65" s="280"/>
      <c r="P65" s="280"/>
      <c r="Q65" s="280"/>
      <c r="R65" s="280"/>
      <c r="S65" s="280"/>
      <c r="T65" s="280"/>
      <c r="U65" s="281"/>
    </row>
    <row r="66" spans="1:21" ht="16" customHeight="1" thickBot="1" x14ac:dyDescent="0.3">
      <c r="A66" s="273"/>
      <c r="B66" s="3" t="s">
        <v>172</v>
      </c>
      <c r="C66" s="255"/>
      <c r="D66" s="256"/>
      <c r="E66" s="257"/>
      <c r="F66" s="258"/>
      <c r="G66" s="259"/>
      <c r="H66" s="257"/>
      <c r="I66" s="259"/>
      <c r="J66" s="282">
        <v>46057</v>
      </c>
      <c r="K66" s="283"/>
      <c r="L66" s="279" t="s">
        <v>204</v>
      </c>
      <c r="M66" s="281"/>
      <c r="N66" s="279" t="s">
        <v>174</v>
      </c>
      <c r="O66" s="280"/>
      <c r="P66" s="280"/>
      <c r="Q66" s="280"/>
      <c r="R66" s="280"/>
      <c r="S66" s="280"/>
      <c r="T66" s="280"/>
      <c r="U66" s="281"/>
    </row>
    <row r="67" spans="1:21" ht="28" customHeight="1" thickBot="1" x14ac:dyDescent="0.3">
      <c r="A67" s="286">
        <v>3</v>
      </c>
      <c r="B67" s="4" t="s">
        <v>169</v>
      </c>
      <c r="C67" s="274"/>
      <c r="D67" s="275"/>
      <c r="E67" s="276"/>
      <c r="F67" s="277"/>
      <c r="G67" s="278"/>
      <c r="H67" s="276"/>
      <c r="I67" s="278"/>
      <c r="J67" s="282">
        <v>46114</v>
      </c>
      <c r="K67" s="283"/>
      <c r="L67" s="279" t="s">
        <v>205</v>
      </c>
      <c r="M67" s="285"/>
      <c r="N67" s="279" t="s">
        <v>201</v>
      </c>
      <c r="O67" s="284"/>
      <c r="P67" s="284"/>
      <c r="Q67" s="284"/>
      <c r="R67" s="284"/>
      <c r="S67" s="284"/>
      <c r="T67" s="284"/>
      <c r="U67" s="285"/>
    </row>
    <row r="68" spans="1:21" ht="16" customHeight="1" thickBot="1" x14ac:dyDescent="0.3">
      <c r="A68" s="287"/>
      <c r="B68" s="3" t="s">
        <v>172</v>
      </c>
      <c r="C68" s="255"/>
      <c r="D68" s="256"/>
      <c r="E68" s="257"/>
      <c r="F68" s="258"/>
      <c r="G68" s="259"/>
      <c r="H68" s="257"/>
      <c r="I68" s="259"/>
      <c r="J68" s="282"/>
      <c r="K68" s="283"/>
      <c r="L68" s="279"/>
      <c r="M68" s="281"/>
      <c r="N68" s="279"/>
      <c r="O68" s="280"/>
      <c r="P68" s="280"/>
      <c r="Q68" s="280"/>
      <c r="R68" s="280"/>
      <c r="S68" s="280"/>
      <c r="T68" s="280"/>
      <c r="U68" s="281"/>
    </row>
  </sheetData>
  <mergeCells count="190">
    <mergeCell ref="A3:E3"/>
    <mergeCell ref="F3:H3"/>
    <mergeCell ref="I3:U3"/>
    <mergeCell ref="A4:E4"/>
    <mergeCell ref="F4:H4"/>
    <mergeCell ref="J4:U4"/>
    <mergeCell ref="A1:B1"/>
    <mergeCell ref="C1:D1"/>
    <mergeCell ref="E1:U1"/>
    <mergeCell ref="A2:E2"/>
    <mergeCell ref="F2:H2"/>
    <mergeCell ref="I2:U2"/>
    <mergeCell ref="A5:E5"/>
    <mergeCell ref="F5:H5"/>
    <mergeCell ref="J5:U5"/>
    <mergeCell ref="G6:O6"/>
    <mergeCell ref="A8:A13"/>
    <mergeCell ref="B8:D8"/>
    <mergeCell ref="F8:F16"/>
    <mergeCell ref="G8:H8"/>
    <mergeCell ref="J8:J13"/>
    <mergeCell ref="K8:N8"/>
    <mergeCell ref="B11:D11"/>
    <mergeCell ref="G11:H11"/>
    <mergeCell ref="K11:N11"/>
    <mergeCell ref="B12:D12"/>
    <mergeCell ref="G12:H12"/>
    <mergeCell ref="B13:D13"/>
    <mergeCell ref="G13:H13"/>
    <mergeCell ref="K13:N13"/>
    <mergeCell ref="B9:D9"/>
    <mergeCell ref="G9:H9"/>
    <mergeCell ref="K9:N9"/>
    <mergeCell ref="B10:D10"/>
    <mergeCell ref="G10:H10"/>
    <mergeCell ref="K10:N10"/>
    <mergeCell ref="A14:A26"/>
    <mergeCell ref="B14:D14"/>
    <mergeCell ref="G14:H14"/>
    <mergeCell ref="J14:J21"/>
    <mergeCell ref="K14:N14"/>
    <mergeCell ref="B15:D15"/>
    <mergeCell ref="G15:H15"/>
    <mergeCell ref="K15:N15"/>
    <mergeCell ref="B16:D16"/>
    <mergeCell ref="G16:H16"/>
    <mergeCell ref="K19:N19"/>
    <mergeCell ref="B20:D20"/>
    <mergeCell ref="G20:H20"/>
    <mergeCell ref="K20:N20"/>
    <mergeCell ref="B21:D21"/>
    <mergeCell ref="G21:H21"/>
    <mergeCell ref="K21:N21"/>
    <mergeCell ref="K16:N16"/>
    <mergeCell ref="B17:D17"/>
    <mergeCell ref="F17:F26"/>
    <mergeCell ref="G17:H17"/>
    <mergeCell ref="K17:N17"/>
    <mergeCell ref="B18:D18"/>
    <mergeCell ref="G18:H18"/>
    <mergeCell ref="K18:N18"/>
    <mergeCell ref="B19:D19"/>
    <mergeCell ref="G19:H19"/>
    <mergeCell ref="B22:D22"/>
    <mergeCell ref="G22:H22"/>
    <mergeCell ref="J22:J26"/>
    <mergeCell ref="K22:N22"/>
    <mergeCell ref="B23:D23"/>
    <mergeCell ref="G23:H23"/>
    <mergeCell ref="K23:N23"/>
    <mergeCell ref="B24:D24"/>
    <mergeCell ref="G24:H24"/>
    <mergeCell ref="K24:N24"/>
    <mergeCell ref="C28:G28"/>
    <mergeCell ref="I28:L28"/>
    <mergeCell ref="N28:O29"/>
    <mergeCell ref="P28:R28"/>
    <mergeCell ref="S28:U28"/>
    <mergeCell ref="C30:G30"/>
    <mergeCell ref="I30:L30"/>
    <mergeCell ref="B25:D25"/>
    <mergeCell ref="G25:H25"/>
    <mergeCell ref="K25:N25"/>
    <mergeCell ref="B26:D26"/>
    <mergeCell ref="G26:H26"/>
    <mergeCell ref="K26:N26"/>
    <mergeCell ref="I34:L34"/>
    <mergeCell ref="C35:G35"/>
    <mergeCell ref="I35:L35"/>
    <mergeCell ref="C36:G36"/>
    <mergeCell ref="I36:L36"/>
    <mergeCell ref="C31:G31"/>
    <mergeCell ref="I31:L31"/>
    <mergeCell ref="I32:L32"/>
    <mergeCell ref="C33:G33"/>
    <mergeCell ref="I33:L33"/>
    <mergeCell ref="C32:D32"/>
    <mergeCell ref="C34:G34"/>
    <mergeCell ref="C40:G40"/>
    <mergeCell ref="I40:L40"/>
    <mergeCell ref="C41:G41"/>
    <mergeCell ref="I42:L42"/>
    <mergeCell ref="C37:G37"/>
    <mergeCell ref="I37:L37"/>
    <mergeCell ref="C38:G38"/>
    <mergeCell ref="I38:L38"/>
    <mergeCell ref="C39:G39"/>
    <mergeCell ref="I39:L39"/>
    <mergeCell ref="I41:L41"/>
    <mergeCell ref="C46:G46"/>
    <mergeCell ref="I46:L46"/>
    <mergeCell ref="C47:G47"/>
    <mergeCell ref="I47:L47"/>
    <mergeCell ref="C48:G48"/>
    <mergeCell ref="I48:L48"/>
    <mergeCell ref="C43:G43"/>
    <mergeCell ref="I43:L43"/>
    <mergeCell ref="C45:G45"/>
    <mergeCell ref="I45:L45"/>
    <mergeCell ref="C44:G44"/>
    <mergeCell ref="I44:L44"/>
    <mergeCell ref="C52:G52"/>
    <mergeCell ref="I52:L52"/>
    <mergeCell ref="C53:G53"/>
    <mergeCell ref="I53:L53"/>
    <mergeCell ref="C54:G54"/>
    <mergeCell ref="I54:L54"/>
    <mergeCell ref="C49:G49"/>
    <mergeCell ref="I49:L49"/>
    <mergeCell ref="C50:G50"/>
    <mergeCell ref="I50:L50"/>
    <mergeCell ref="C51:G51"/>
    <mergeCell ref="I51:L51"/>
    <mergeCell ref="C58:G58"/>
    <mergeCell ref="I58:L58"/>
    <mergeCell ref="C59:G59"/>
    <mergeCell ref="I59:L59"/>
    <mergeCell ref="A61:I61"/>
    <mergeCell ref="J61:U61"/>
    <mergeCell ref="C55:G55"/>
    <mergeCell ref="I55:L55"/>
    <mergeCell ref="C56:G56"/>
    <mergeCell ref="I56:L56"/>
    <mergeCell ref="C57:G57"/>
    <mergeCell ref="I57:L57"/>
    <mergeCell ref="C60:G60"/>
    <mergeCell ref="I60:L60"/>
    <mergeCell ref="L63:M63"/>
    <mergeCell ref="N63:U63"/>
    <mergeCell ref="C64:D64"/>
    <mergeCell ref="H64:I64"/>
    <mergeCell ref="J64:K64"/>
    <mergeCell ref="L64:M64"/>
    <mergeCell ref="N64:U64"/>
    <mergeCell ref="N65:U65"/>
    <mergeCell ref="A62:B62"/>
    <mergeCell ref="C62:D62"/>
    <mergeCell ref="E62:G62"/>
    <mergeCell ref="H62:I62"/>
    <mergeCell ref="N62:U62"/>
    <mergeCell ref="A63:A64"/>
    <mergeCell ref="C63:D63"/>
    <mergeCell ref="E63:G63"/>
    <mergeCell ref="H63:I63"/>
    <mergeCell ref="J63:K63"/>
    <mergeCell ref="E64:G64"/>
    <mergeCell ref="C66:D66"/>
    <mergeCell ref="E66:G66"/>
    <mergeCell ref="H66:I66"/>
    <mergeCell ref="J66:K66"/>
    <mergeCell ref="L66:M66"/>
    <mergeCell ref="N66:U66"/>
    <mergeCell ref="A65:A66"/>
    <mergeCell ref="C65:D65"/>
    <mergeCell ref="N67:U67"/>
    <mergeCell ref="H65:I65"/>
    <mergeCell ref="J65:K65"/>
    <mergeCell ref="L65:M65"/>
    <mergeCell ref="C68:D68"/>
    <mergeCell ref="E68:G68"/>
    <mergeCell ref="H68:I68"/>
    <mergeCell ref="J68:K68"/>
    <mergeCell ref="L68:M68"/>
    <mergeCell ref="N68:U68"/>
    <mergeCell ref="A67:A68"/>
    <mergeCell ref="C67:D67"/>
    <mergeCell ref="E67:G67"/>
    <mergeCell ref="H67:I67"/>
    <mergeCell ref="J67:K67"/>
    <mergeCell ref="L67:M67"/>
  </mergeCells>
  <conditionalFormatting sqref="A30:A60">
    <cfRule type="containsText" dxfId="23" priority="1" operator="containsText" text="E">
      <formula>NOT(ISERROR(SEARCH("E",A30)))</formula>
    </cfRule>
    <cfRule type="containsText" dxfId="22" priority="2" operator="containsText" text="C">
      <formula>NOT(ISERROR(SEARCH("C",A30)))</formula>
    </cfRule>
    <cfRule type="containsText" dxfId="21" priority="3" operator="containsText" text="R">
      <formula>NOT(ISERROR(SEARCH("R",A30)))</formula>
    </cfRule>
    <cfRule type="containsText" dxfId="20" priority="4" operator="containsText" text="Q">
      <formula>NOT(ISERROR(SEARCH("Q",A30)))</formula>
    </cfRule>
    <cfRule type="containsText" dxfId="19" priority="5" operator="containsText" text="P">
      <formula>NOT(ISERROR(SEARCH("P",A30)))</formula>
    </cfRule>
    <cfRule type="containsText" dxfId="18" priority="6" operator="containsText" text="S">
      <formula>NOT(ISERROR(SEARCH("S",A30)))</formula>
    </cfRule>
    <cfRule type="expression" dxfId="17" priority="7">
      <formula>$A30=S</formula>
    </cfRule>
  </conditionalFormatting>
  <conditionalFormatting sqref="S30:U59">
    <cfRule type="cellIs" dxfId="16" priority="50" stopIfTrue="1" operator="equal">
      <formula>FALSE</formula>
    </cfRule>
  </conditionalFormatting>
  <dataValidations count="7">
    <dataValidation type="list" allowBlank="1" showInputMessage="1" showErrorMessage="1" sqref="F3:H3" xr:uid="{CCCBE2D0-68F8-4ECD-BCF7-E1F6DD4F7AE2}">
      <formula1>$AB$2:$AB$5</formula1>
    </dataValidation>
    <dataValidation type="date" allowBlank="1" showInputMessage="1" showErrorMessage="1" errorTitle="Change Date" error="Please enter Change Date between 1/1/2007 and 1/1/2020" promptTitle="Change Date" prompt="Please enter Change Date between 1/1/2007 and 1/1/2020" sqref="J65:K68" xr:uid="{39BD3879-6F59-4712-B5BB-BD240B2CD011}">
      <formula1>39083</formula1>
      <formula2>73051</formula2>
    </dataValidation>
    <dataValidation type="list" allowBlank="1" showInputMessage="1" showErrorMessage="1" sqref="P30:R59" xr:uid="{6D170CD9-5563-411C-B05B-D7B839972BF7}">
      <formula1>$AD$2:$AD$3</formula1>
    </dataValidation>
    <dataValidation type="decimal" allowBlank="1" showInputMessage="1" showErrorMessage="1" errorTitle="Task Cycle Time" error="Please enter Task Cycle Time between 0 and 4800" promptTitle="Task Cycle Time" prompt="Please enter Task Cycle Time between 0 and 4800" sqref="M30:M60" xr:uid="{2E605AF0-9698-4B4C-9ED9-83B8B76B1AAE}">
      <formula1>0</formula1>
      <formula2>4800</formula2>
    </dataValidation>
    <dataValidation type="list" showInputMessage="1" showErrorMessage="1" sqref="A60" xr:uid="{3F2F7255-3CA1-4350-B6ED-2EF0241EC4A4}">
      <formula1>$AF$2:$AF$7</formula1>
    </dataValidation>
    <dataValidation type="list" showInputMessage="1" showErrorMessage="1" sqref="A30:A59" xr:uid="{D7284B6F-C97E-40DF-B118-324BFA1BDD8C}">
      <formula1>$AF$2:$AF$8</formula1>
    </dataValidation>
    <dataValidation type="list" allowBlank="1" showInputMessage="1" showErrorMessage="1" sqref="O30:O59" xr:uid="{4CC15AFE-CBDB-4109-994D-1FE10AD1E2EC}">
      <formula1>$AC$2:$AC$5</formula1>
    </dataValidation>
  </dataValidations>
  <pageMargins left="0.25" right="0" top="0.25" bottom="0.25" header="0" footer="0.25"/>
  <pageSetup scale="46" orientation="portrait" r:id="rId1"/>
  <headerFooter>
    <oddFooter>&amp;LAPP06-F08&amp;RRevised : 4/8/25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63783-3EDD-4E56-BE34-733020CB60F3}">
  <sheetPr>
    <pageSetUpPr fitToPage="1"/>
  </sheetPr>
  <dimension ref="A1:AF68"/>
  <sheetViews>
    <sheetView view="pageBreakPreview" zoomScale="80" zoomScaleNormal="100" zoomScaleSheetLayoutView="80" workbookViewId="0">
      <pane ySplit="5" topLeftCell="A6" activePane="bottomLeft" state="frozen"/>
      <selection activeCell="C38" sqref="C38:G38"/>
      <selection pane="bottomLeft" activeCell="C58" sqref="C58:G58"/>
    </sheetView>
  </sheetViews>
  <sheetFormatPr defaultColWidth="9.26953125" defaultRowHeight="12.5" x14ac:dyDescent="0.25"/>
  <cols>
    <col min="1" max="1" width="2.81640625" style="1" customWidth="1"/>
    <col min="2" max="2" width="6.26953125" style="1" customWidth="1"/>
    <col min="3" max="3" width="12.26953125" style="1" customWidth="1"/>
    <col min="4" max="4" width="29.453125" style="1" customWidth="1"/>
    <col min="5" max="6" width="4.7265625" style="1" customWidth="1"/>
    <col min="7" max="7" width="41.1796875" style="1" customWidth="1"/>
    <col min="8" max="8" width="12.54296875" style="1" customWidth="1"/>
    <col min="9" max="9" width="11.7265625" style="1" customWidth="1"/>
    <col min="10" max="10" width="4.7265625" style="1" customWidth="1"/>
    <col min="11" max="11" width="20.54296875" style="1" customWidth="1"/>
    <col min="12" max="12" width="4.7265625" style="1" customWidth="1"/>
    <col min="13" max="13" width="8.1796875" style="1" customWidth="1"/>
    <col min="14" max="15" width="6.7265625" style="1" customWidth="1"/>
    <col min="16" max="18" width="4.26953125" style="1" customWidth="1"/>
    <col min="19" max="21" width="5.7265625" style="1" customWidth="1"/>
    <col min="22" max="22" width="7" style="1" customWidth="1"/>
    <col min="23" max="26" width="9.26953125" style="1"/>
    <col min="27" max="29" width="0" style="1" hidden="1" customWidth="1"/>
    <col min="30" max="30" width="0" style="86" hidden="1" customWidth="1"/>
    <col min="31" max="33" width="0" style="1" hidden="1" customWidth="1"/>
    <col min="34" max="16384" width="9.26953125" style="1"/>
  </cols>
  <sheetData>
    <row r="1" spans="1:32" ht="30.5" thickBot="1" x14ac:dyDescent="0.3">
      <c r="A1" s="144" t="s">
        <v>0</v>
      </c>
      <c r="B1" s="145"/>
      <c r="C1" s="146" t="s">
        <v>1</v>
      </c>
      <c r="D1" s="147"/>
      <c r="E1" s="148" t="s">
        <v>2</v>
      </c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23"/>
      <c r="AB1" s="83" t="s">
        <v>3</v>
      </c>
      <c r="AC1" s="83" t="s">
        <v>4</v>
      </c>
      <c r="AD1" s="84" t="s">
        <v>5</v>
      </c>
      <c r="AE1" s="83"/>
      <c r="AF1" s="83" t="s">
        <v>6</v>
      </c>
    </row>
    <row r="2" spans="1:32" ht="15.5" x14ac:dyDescent="0.25">
      <c r="A2" s="141" t="s">
        <v>7</v>
      </c>
      <c r="B2" s="142"/>
      <c r="C2" s="142"/>
      <c r="D2" s="142"/>
      <c r="E2" s="143"/>
      <c r="F2" s="141" t="s">
        <v>8</v>
      </c>
      <c r="G2" s="142"/>
      <c r="H2" s="143"/>
      <c r="I2" s="141" t="s">
        <v>9</v>
      </c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50"/>
      <c r="AB2" s="83" t="s">
        <v>10</v>
      </c>
      <c r="AC2" s="85" t="s">
        <v>11</v>
      </c>
      <c r="AD2" s="84" t="s">
        <v>12</v>
      </c>
      <c r="AE2" s="83"/>
      <c r="AF2" s="83" t="s">
        <v>13</v>
      </c>
    </row>
    <row r="3" spans="1:32" ht="16" customHeight="1" x14ac:dyDescent="0.25">
      <c r="A3" s="132" t="s">
        <v>202</v>
      </c>
      <c r="B3" s="133"/>
      <c r="C3" s="133"/>
      <c r="D3" s="133"/>
      <c r="E3" s="134"/>
      <c r="F3" s="135" t="s">
        <v>10</v>
      </c>
      <c r="G3" s="136"/>
      <c r="H3" s="137"/>
      <c r="I3" s="138" t="s">
        <v>205</v>
      </c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40"/>
      <c r="AB3" s="83" t="s">
        <v>14</v>
      </c>
      <c r="AC3" s="85" t="s">
        <v>15</v>
      </c>
      <c r="AD3" s="84" t="s">
        <v>16</v>
      </c>
      <c r="AE3" s="83"/>
      <c r="AF3" s="83" t="s">
        <v>17</v>
      </c>
    </row>
    <row r="4" spans="1:32" ht="15.5" x14ac:dyDescent="0.25">
      <c r="A4" s="141" t="s">
        <v>18</v>
      </c>
      <c r="B4" s="142"/>
      <c r="C4" s="142"/>
      <c r="D4" s="142"/>
      <c r="E4" s="143"/>
      <c r="F4" s="141" t="s">
        <v>19</v>
      </c>
      <c r="G4" s="142"/>
      <c r="H4" s="143"/>
      <c r="I4" s="81" t="s">
        <v>20</v>
      </c>
      <c r="J4" s="141" t="s">
        <v>21</v>
      </c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3"/>
      <c r="AB4" s="83" t="s">
        <v>22</v>
      </c>
      <c r="AC4" s="85" t="s">
        <v>23</v>
      </c>
      <c r="AD4" s="84"/>
      <c r="AE4" s="83"/>
      <c r="AF4" s="83" t="s">
        <v>24</v>
      </c>
    </row>
    <row r="5" spans="1:32" ht="15.5" x14ac:dyDescent="0.25">
      <c r="A5" s="132" t="s">
        <v>25</v>
      </c>
      <c r="B5" s="133"/>
      <c r="C5" s="133"/>
      <c r="D5" s="133"/>
      <c r="E5" s="134"/>
      <c r="F5" s="132" t="s">
        <v>203</v>
      </c>
      <c r="G5" s="133"/>
      <c r="H5" s="134"/>
      <c r="I5" s="24" t="s">
        <v>175</v>
      </c>
      <c r="J5" s="151">
        <v>46114</v>
      </c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3"/>
      <c r="AB5" s="83" t="s">
        <v>27</v>
      </c>
      <c r="AC5" s="85" t="s">
        <v>12</v>
      </c>
      <c r="AD5" s="84"/>
      <c r="AE5" s="83"/>
      <c r="AF5" s="83" t="s">
        <v>28</v>
      </c>
    </row>
    <row r="6" spans="1:32" ht="23.5" thickBot="1" x14ac:dyDescent="0.3">
      <c r="A6" s="17" t="s">
        <v>29</v>
      </c>
      <c r="B6" s="2"/>
      <c r="C6" s="16"/>
      <c r="D6" s="16"/>
      <c r="E6" s="16"/>
      <c r="F6" s="16"/>
      <c r="G6" s="154" t="s">
        <v>30</v>
      </c>
      <c r="H6" s="154"/>
      <c r="I6" s="154"/>
      <c r="J6" s="154"/>
      <c r="K6" s="154"/>
      <c r="L6" s="154"/>
      <c r="M6" s="154"/>
      <c r="N6" s="154"/>
      <c r="O6" s="154"/>
      <c r="P6" s="25"/>
      <c r="Q6" s="25"/>
      <c r="R6" s="25"/>
      <c r="S6" s="25"/>
      <c r="T6" s="25"/>
      <c r="U6" s="26"/>
      <c r="AB6" s="83"/>
      <c r="AC6" s="83"/>
      <c r="AD6" s="84"/>
      <c r="AE6" s="83"/>
      <c r="AF6" s="83" t="s">
        <v>31</v>
      </c>
    </row>
    <row r="7" spans="1:32" ht="10.9" customHeight="1" thickBot="1" x14ac:dyDescent="0.3">
      <c r="A7" s="12"/>
      <c r="B7" s="2"/>
      <c r="C7" s="2"/>
      <c r="D7" s="2"/>
      <c r="E7" s="27"/>
      <c r="F7" s="27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14"/>
      <c r="AB7" s="83"/>
      <c r="AC7" s="83"/>
      <c r="AD7" s="84"/>
      <c r="AE7" s="83"/>
      <c r="AF7" s="83" t="s">
        <v>32</v>
      </c>
    </row>
    <row r="8" spans="1:32" ht="15.5" x14ac:dyDescent="0.25">
      <c r="A8" s="155" t="s">
        <v>33</v>
      </c>
      <c r="B8" s="158" t="s">
        <v>34</v>
      </c>
      <c r="C8" s="159"/>
      <c r="D8" s="160"/>
      <c r="E8" s="28"/>
      <c r="F8" s="161" t="s">
        <v>35</v>
      </c>
      <c r="G8" s="164" t="s">
        <v>36</v>
      </c>
      <c r="H8" s="165"/>
      <c r="I8" s="2"/>
      <c r="J8" s="166" t="s">
        <v>37</v>
      </c>
      <c r="K8" s="169" t="s">
        <v>38</v>
      </c>
      <c r="L8" s="170"/>
      <c r="M8" s="170"/>
      <c r="N8" s="171"/>
      <c r="O8" s="29"/>
      <c r="P8" s="30"/>
      <c r="Q8" s="30"/>
      <c r="R8" s="30"/>
      <c r="S8" s="30"/>
      <c r="T8" s="30"/>
      <c r="U8" s="31"/>
      <c r="AB8" s="83"/>
      <c r="AC8" s="83"/>
      <c r="AD8" s="84"/>
      <c r="AE8" s="83"/>
      <c r="AF8" s="83"/>
    </row>
    <row r="9" spans="1:32" ht="15.5" x14ac:dyDescent="0.25">
      <c r="A9" s="156"/>
      <c r="B9" s="175" t="s">
        <v>39</v>
      </c>
      <c r="C9" s="177"/>
      <c r="D9" s="176"/>
      <c r="E9" s="28"/>
      <c r="F9" s="162"/>
      <c r="G9" s="186" t="s">
        <v>40</v>
      </c>
      <c r="H9" s="187"/>
      <c r="I9" s="2"/>
      <c r="J9" s="167"/>
      <c r="K9" s="175" t="s">
        <v>41</v>
      </c>
      <c r="L9" s="177"/>
      <c r="M9" s="177"/>
      <c r="N9" s="176"/>
      <c r="O9" s="29"/>
      <c r="P9" s="30"/>
      <c r="Q9" s="30"/>
      <c r="R9" s="30"/>
      <c r="S9" s="30"/>
      <c r="T9" s="30"/>
      <c r="U9" s="31"/>
    </row>
    <row r="10" spans="1:32" ht="15.5" x14ac:dyDescent="0.25">
      <c r="A10" s="156"/>
      <c r="B10" s="175" t="s">
        <v>42</v>
      </c>
      <c r="C10" s="177"/>
      <c r="D10" s="176"/>
      <c r="E10" s="28"/>
      <c r="F10" s="162"/>
      <c r="G10" s="175" t="s">
        <v>43</v>
      </c>
      <c r="H10" s="176"/>
      <c r="I10" s="2"/>
      <c r="J10" s="167"/>
      <c r="K10" s="175" t="s">
        <v>44</v>
      </c>
      <c r="L10" s="177"/>
      <c r="M10" s="177"/>
      <c r="N10" s="176"/>
      <c r="O10" s="32"/>
      <c r="P10" s="28"/>
      <c r="Q10" s="28"/>
      <c r="R10" s="28"/>
      <c r="S10" s="28"/>
      <c r="T10" s="28"/>
      <c r="U10" s="33"/>
    </row>
    <row r="11" spans="1:32" ht="15.5" x14ac:dyDescent="0.25">
      <c r="A11" s="156"/>
      <c r="B11" s="172" t="s">
        <v>45</v>
      </c>
      <c r="C11" s="173"/>
      <c r="D11" s="174"/>
      <c r="E11" s="30"/>
      <c r="F11" s="162"/>
      <c r="G11" s="175" t="s">
        <v>46</v>
      </c>
      <c r="H11" s="176"/>
      <c r="I11" s="2"/>
      <c r="J11" s="167"/>
      <c r="K11" s="175" t="s">
        <v>47</v>
      </c>
      <c r="L11" s="177"/>
      <c r="M11" s="177"/>
      <c r="N11" s="176"/>
      <c r="O11" s="32"/>
      <c r="P11" s="28"/>
      <c r="Q11" s="28"/>
      <c r="R11" s="28"/>
      <c r="S11" s="28"/>
      <c r="T11" s="28"/>
      <c r="U11" s="33"/>
    </row>
    <row r="12" spans="1:32" ht="15.5" x14ac:dyDescent="0.25">
      <c r="A12" s="156"/>
      <c r="B12" s="175" t="s">
        <v>48</v>
      </c>
      <c r="C12" s="177"/>
      <c r="D12" s="176"/>
      <c r="E12" s="28"/>
      <c r="F12" s="162"/>
      <c r="G12" s="175" t="s">
        <v>49</v>
      </c>
      <c r="H12" s="176"/>
      <c r="I12" s="2"/>
      <c r="J12" s="167"/>
      <c r="K12" s="13"/>
      <c r="L12" s="13"/>
      <c r="M12" s="13"/>
      <c r="N12" s="13"/>
      <c r="O12" s="32"/>
      <c r="P12" s="28"/>
      <c r="Q12" s="28"/>
      <c r="R12" s="28"/>
      <c r="S12" s="28"/>
      <c r="T12" s="28"/>
      <c r="U12" s="33"/>
    </row>
    <row r="13" spans="1:32" ht="16" thickBot="1" x14ac:dyDescent="0.4">
      <c r="A13" s="157"/>
      <c r="B13" s="178" t="s">
        <v>50</v>
      </c>
      <c r="C13" s="179"/>
      <c r="D13" s="180"/>
      <c r="E13" s="34"/>
      <c r="F13" s="162"/>
      <c r="G13" s="181" t="s">
        <v>51</v>
      </c>
      <c r="H13" s="182"/>
      <c r="I13" s="2"/>
      <c r="J13" s="168"/>
      <c r="K13" s="183"/>
      <c r="L13" s="184"/>
      <c r="M13" s="184"/>
      <c r="N13" s="185"/>
      <c r="O13" s="32"/>
      <c r="P13" s="28"/>
      <c r="Q13" s="28"/>
      <c r="R13" s="28"/>
      <c r="S13" s="28"/>
      <c r="T13" s="28"/>
      <c r="U13" s="33"/>
    </row>
    <row r="14" spans="1:32" ht="15.5" x14ac:dyDescent="0.25">
      <c r="A14" s="188" t="s">
        <v>52</v>
      </c>
      <c r="B14" s="169" t="s">
        <v>53</v>
      </c>
      <c r="C14" s="170"/>
      <c r="D14" s="171"/>
      <c r="E14" s="35"/>
      <c r="F14" s="162"/>
      <c r="G14" s="186" t="s">
        <v>54</v>
      </c>
      <c r="H14" s="187"/>
      <c r="I14" s="2"/>
      <c r="J14" s="191" t="s">
        <v>55</v>
      </c>
      <c r="K14" s="175" t="s">
        <v>56</v>
      </c>
      <c r="L14" s="177"/>
      <c r="M14" s="177"/>
      <c r="N14" s="176"/>
      <c r="O14" s="32"/>
      <c r="P14" s="28"/>
      <c r="Q14" s="28"/>
      <c r="R14" s="28"/>
      <c r="S14" s="28"/>
      <c r="T14" s="28"/>
      <c r="U14" s="33"/>
    </row>
    <row r="15" spans="1:32" ht="15.5" x14ac:dyDescent="0.25">
      <c r="A15" s="189"/>
      <c r="B15" s="172" t="s">
        <v>57</v>
      </c>
      <c r="C15" s="173"/>
      <c r="D15" s="174"/>
      <c r="E15" s="36"/>
      <c r="F15" s="162"/>
      <c r="G15" s="186" t="s">
        <v>58</v>
      </c>
      <c r="H15" s="187"/>
      <c r="I15" s="2"/>
      <c r="J15" s="192"/>
      <c r="K15" s="175" t="s">
        <v>59</v>
      </c>
      <c r="L15" s="177"/>
      <c r="M15" s="177"/>
      <c r="N15" s="176"/>
      <c r="O15" s="32"/>
      <c r="P15" s="28"/>
      <c r="Q15" s="28"/>
      <c r="R15" s="28"/>
      <c r="S15" s="28"/>
      <c r="T15" s="28"/>
      <c r="U15" s="33"/>
    </row>
    <row r="16" spans="1:32" ht="16" thickBot="1" x14ac:dyDescent="0.3">
      <c r="A16" s="189"/>
      <c r="B16" s="175" t="s">
        <v>60</v>
      </c>
      <c r="C16" s="177"/>
      <c r="D16" s="176"/>
      <c r="E16" s="36"/>
      <c r="F16" s="163"/>
      <c r="G16" s="183" t="s">
        <v>61</v>
      </c>
      <c r="H16" s="185"/>
      <c r="I16" s="2"/>
      <c r="J16" s="192"/>
      <c r="K16" s="175" t="s">
        <v>62</v>
      </c>
      <c r="L16" s="177"/>
      <c r="M16" s="177"/>
      <c r="N16" s="176"/>
      <c r="O16" s="32"/>
      <c r="P16" s="28"/>
      <c r="Q16" s="28"/>
      <c r="R16" s="28"/>
      <c r="S16" s="28"/>
      <c r="T16" s="28"/>
      <c r="U16" s="33"/>
    </row>
    <row r="17" spans="1:22" ht="15.5" x14ac:dyDescent="0.25">
      <c r="A17" s="189"/>
      <c r="B17" s="175" t="s">
        <v>63</v>
      </c>
      <c r="C17" s="177"/>
      <c r="D17" s="176"/>
      <c r="E17" s="28"/>
      <c r="F17" s="200" t="s">
        <v>64</v>
      </c>
      <c r="G17" s="158" t="s">
        <v>65</v>
      </c>
      <c r="H17" s="160"/>
      <c r="I17" s="2"/>
      <c r="J17" s="192"/>
      <c r="K17" s="194"/>
      <c r="L17" s="195"/>
      <c r="M17" s="195"/>
      <c r="N17" s="196"/>
      <c r="O17" s="32"/>
      <c r="P17" s="28"/>
      <c r="Q17" s="28"/>
      <c r="R17" s="28"/>
      <c r="S17" s="28"/>
      <c r="T17" s="28"/>
      <c r="U17" s="33"/>
    </row>
    <row r="18" spans="1:22" ht="15.5" x14ac:dyDescent="0.25">
      <c r="A18" s="189"/>
      <c r="B18" s="175" t="s">
        <v>66</v>
      </c>
      <c r="C18" s="177"/>
      <c r="D18" s="176"/>
      <c r="E18" s="28"/>
      <c r="F18" s="201"/>
      <c r="G18" s="181" t="s">
        <v>67</v>
      </c>
      <c r="H18" s="182"/>
      <c r="I18" s="2"/>
      <c r="J18" s="192"/>
      <c r="K18" s="194"/>
      <c r="L18" s="195"/>
      <c r="M18" s="195"/>
      <c r="N18" s="196"/>
      <c r="O18" s="32"/>
      <c r="P18" s="28"/>
      <c r="Q18" s="28"/>
      <c r="R18" s="28"/>
      <c r="S18" s="28"/>
      <c r="T18" s="28"/>
      <c r="U18" s="33"/>
    </row>
    <row r="19" spans="1:22" ht="15.5" x14ac:dyDescent="0.25">
      <c r="A19" s="189"/>
      <c r="B19" s="175" t="s">
        <v>68</v>
      </c>
      <c r="C19" s="177"/>
      <c r="D19" s="176"/>
      <c r="E19" s="28"/>
      <c r="F19" s="201"/>
      <c r="G19" s="181" t="s">
        <v>69</v>
      </c>
      <c r="H19" s="182"/>
      <c r="I19" s="2"/>
      <c r="J19" s="192"/>
      <c r="K19" s="194"/>
      <c r="L19" s="195"/>
      <c r="M19" s="195"/>
      <c r="N19" s="196"/>
      <c r="O19" s="32"/>
      <c r="P19" s="28"/>
      <c r="Q19" s="28"/>
      <c r="R19" s="28"/>
      <c r="S19" s="28"/>
      <c r="T19" s="28"/>
      <c r="U19" s="33"/>
    </row>
    <row r="20" spans="1:22" ht="15.5" x14ac:dyDescent="0.25">
      <c r="A20" s="189"/>
      <c r="B20" s="172" t="s">
        <v>70</v>
      </c>
      <c r="C20" s="173"/>
      <c r="D20" s="174"/>
      <c r="E20" s="28"/>
      <c r="F20" s="201"/>
      <c r="G20" s="181" t="s">
        <v>71</v>
      </c>
      <c r="H20" s="182"/>
      <c r="I20" s="2"/>
      <c r="J20" s="192"/>
      <c r="K20" s="194"/>
      <c r="L20" s="195"/>
      <c r="M20" s="195"/>
      <c r="N20" s="196"/>
      <c r="O20" s="32"/>
      <c r="P20" s="28"/>
      <c r="Q20" s="28"/>
      <c r="R20" s="28"/>
      <c r="S20" s="28"/>
      <c r="T20" s="28"/>
      <c r="U20" s="33"/>
    </row>
    <row r="21" spans="1:22" ht="16" thickBot="1" x14ac:dyDescent="0.4">
      <c r="A21" s="189"/>
      <c r="B21" s="175" t="s">
        <v>72</v>
      </c>
      <c r="C21" s="177"/>
      <c r="D21" s="176"/>
      <c r="E21" s="28"/>
      <c r="F21" s="201"/>
      <c r="G21" s="181" t="s">
        <v>73</v>
      </c>
      <c r="H21" s="182"/>
      <c r="I21" s="2"/>
      <c r="J21" s="193"/>
      <c r="K21" s="197"/>
      <c r="L21" s="198"/>
      <c r="M21" s="198"/>
      <c r="N21" s="199"/>
      <c r="O21" s="32"/>
      <c r="P21" s="28"/>
      <c r="Q21" s="28"/>
      <c r="R21" s="28"/>
      <c r="S21" s="28"/>
      <c r="T21" s="28"/>
      <c r="U21" s="33"/>
    </row>
    <row r="22" spans="1:22" ht="15.5" x14ac:dyDescent="0.25">
      <c r="A22" s="189"/>
      <c r="B22" s="175" t="s">
        <v>74</v>
      </c>
      <c r="C22" s="177"/>
      <c r="D22" s="176"/>
      <c r="E22" s="28"/>
      <c r="F22" s="201"/>
      <c r="G22" s="181" t="s">
        <v>75</v>
      </c>
      <c r="H22" s="182"/>
      <c r="I22" s="2"/>
      <c r="J22" s="203" t="s">
        <v>6</v>
      </c>
      <c r="K22" s="175" t="s">
        <v>76</v>
      </c>
      <c r="L22" s="177"/>
      <c r="M22" s="177"/>
      <c r="N22" s="176"/>
      <c r="O22" s="32"/>
      <c r="P22" s="28"/>
      <c r="Q22" s="28"/>
      <c r="R22" s="28"/>
      <c r="S22" s="28"/>
      <c r="T22" s="28"/>
      <c r="U22" s="33"/>
    </row>
    <row r="23" spans="1:22" ht="15.5" x14ac:dyDescent="0.25">
      <c r="A23" s="189"/>
      <c r="B23" s="175" t="s">
        <v>77</v>
      </c>
      <c r="C23" s="177"/>
      <c r="D23" s="176"/>
      <c r="E23" s="28"/>
      <c r="F23" s="201"/>
      <c r="G23" s="181"/>
      <c r="H23" s="182"/>
      <c r="I23" s="2"/>
      <c r="J23" s="204"/>
      <c r="K23" s="175" t="s">
        <v>78</v>
      </c>
      <c r="L23" s="177"/>
      <c r="M23" s="177"/>
      <c r="N23" s="176"/>
      <c r="O23" s="32"/>
      <c r="P23" s="28"/>
      <c r="Q23" s="28"/>
      <c r="R23" s="28"/>
      <c r="S23" s="28"/>
      <c r="T23" s="28"/>
      <c r="U23" s="33"/>
    </row>
    <row r="24" spans="1:22" ht="15.5" x14ac:dyDescent="0.25">
      <c r="A24" s="189"/>
      <c r="B24" s="172" t="s">
        <v>79</v>
      </c>
      <c r="C24" s="173"/>
      <c r="D24" s="174"/>
      <c r="E24" s="28"/>
      <c r="F24" s="201"/>
      <c r="G24" s="181"/>
      <c r="H24" s="182"/>
      <c r="I24" s="2"/>
      <c r="J24" s="204"/>
      <c r="K24" s="175" t="s">
        <v>80</v>
      </c>
      <c r="L24" s="177"/>
      <c r="M24" s="177"/>
      <c r="N24" s="176"/>
      <c r="O24" s="32"/>
      <c r="P24" s="28"/>
      <c r="Q24" s="28"/>
      <c r="R24" s="28"/>
      <c r="S24" s="28"/>
      <c r="T24" s="28"/>
      <c r="U24" s="33"/>
    </row>
    <row r="25" spans="1:22" ht="15.5" x14ac:dyDescent="0.25">
      <c r="A25" s="189"/>
      <c r="B25" s="172" t="s">
        <v>81</v>
      </c>
      <c r="C25" s="173"/>
      <c r="D25" s="174"/>
      <c r="E25" s="28"/>
      <c r="F25" s="201"/>
      <c r="G25" s="181"/>
      <c r="H25" s="182"/>
      <c r="I25" s="2"/>
      <c r="J25" s="204"/>
      <c r="K25" s="175"/>
      <c r="L25" s="177"/>
      <c r="M25" s="177"/>
      <c r="N25" s="176"/>
      <c r="O25" s="32"/>
      <c r="P25" s="28"/>
      <c r="Q25" s="28"/>
      <c r="R25" s="28"/>
      <c r="S25" s="28"/>
      <c r="T25" s="28"/>
      <c r="U25" s="33"/>
    </row>
    <row r="26" spans="1:22" ht="16" thickBot="1" x14ac:dyDescent="0.4">
      <c r="A26" s="190"/>
      <c r="B26" s="222" t="s">
        <v>82</v>
      </c>
      <c r="C26" s="223"/>
      <c r="D26" s="224"/>
      <c r="E26" s="36"/>
      <c r="F26" s="202"/>
      <c r="G26" s="183"/>
      <c r="H26" s="185"/>
      <c r="I26" s="2"/>
      <c r="J26" s="205"/>
      <c r="K26" s="197"/>
      <c r="L26" s="198"/>
      <c r="M26" s="198"/>
      <c r="N26" s="199"/>
      <c r="O26" s="37"/>
      <c r="P26" s="38"/>
      <c r="Q26" s="38"/>
      <c r="R26" s="38"/>
      <c r="S26" s="38"/>
      <c r="T26" s="38"/>
      <c r="U26" s="39"/>
    </row>
    <row r="27" spans="1:22" ht="13.5" thickBot="1" x14ac:dyDescent="0.35">
      <c r="A27" s="12"/>
      <c r="B27" s="40"/>
      <c r="C27" s="40"/>
      <c r="D27" s="40"/>
      <c r="E27" s="2"/>
      <c r="F27" s="41"/>
      <c r="G27" s="41"/>
      <c r="H27" s="41"/>
      <c r="I27" s="2"/>
      <c r="J27" s="41"/>
      <c r="K27" s="41"/>
      <c r="L27" s="41"/>
      <c r="M27" s="41"/>
      <c r="N27" s="41"/>
      <c r="O27" s="2"/>
      <c r="P27" s="2"/>
      <c r="Q27" s="2"/>
      <c r="R27" s="2"/>
      <c r="S27" s="2"/>
      <c r="T27" s="2"/>
      <c r="U27" s="42"/>
      <c r="V27" s="43"/>
    </row>
    <row r="28" spans="1:22" ht="63" customHeight="1" thickBot="1" x14ac:dyDescent="0.3">
      <c r="A28" s="21" t="s">
        <v>6</v>
      </c>
      <c r="B28" s="22" t="s">
        <v>83</v>
      </c>
      <c r="C28" s="206" t="s">
        <v>84</v>
      </c>
      <c r="D28" s="207"/>
      <c r="E28" s="207"/>
      <c r="F28" s="207"/>
      <c r="G28" s="208"/>
      <c r="H28" s="22" t="s">
        <v>85</v>
      </c>
      <c r="I28" s="206" t="s">
        <v>86</v>
      </c>
      <c r="J28" s="207"/>
      <c r="K28" s="207"/>
      <c r="L28" s="208"/>
      <c r="M28" s="20" t="s">
        <v>87</v>
      </c>
      <c r="N28" s="209" t="s">
        <v>88</v>
      </c>
      <c r="O28" s="210"/>
      <c r="P28" s="206" t="s">
        <v>89</v>
      </c>
      <c r="Q28" s="207"/>
      <c r="R28" s="208"/>
      <c r="S28" s="213" t="s">
        <v>90</v>
      </c>
      <c r="T28" s="214"/>
      <c r="U28" s="215"/>
    </row>
    <row r="29" spans="1:22" ht="16" thickBot="1" x14ac:dyDescent="0.3">
      <c r="A29" s="44"/>
      <c r="B29" s="45"/>
      <c r="C29" s="46"/>
      <c r="D29" s="47"/>
      <c r="E29" s="47"/>
      <c r="F29" s="47"/>
      <c r="G29" s="48"/>
      <c r="H29" s="45"/>
      <c r="I29" s="46"/>
      <c r="J29" s="47"/>
      <c r="K29" s="47"/>
      <c r="L29" s="48"/>
      <c r="M29" s="46"/>
      <c r="N29" s="211"/>
      <c r="O29" s="212"/>
      <c r="P29" s="20">
        <v>1</v>
      </c>
      <c r="Q29" s="20">
        <v>2</v>
      </c>
      <c r="R29" s="20">
        <v>3</v>
      </c>
      <c r="S29" s="49">
        <v>1</v>
      </c>
      <c r="T29" s="49">
        <v>2</v>
      </c>
      <c r="U29" s="49">
        <v>3</v>
      </c>
    </row>
    <row r="30" spans="1:22" ht="30" customHeight="1" thickBot="1" x14ac:dyDescent="0.3">
      <c r="A30" s="55" t="s">
        <v>32</v>
      </c>
      <c r="B30" s="92">
        <v>31</v>
      </c>
      <c r="C30" s="216" t="s">
        <v>176</v>
      </c>
      <c r="D30" s="217"/>
      <c r="E30" s="217"/>
      <c r="F30" s="217"/>
      <c r="G30" s="218"/>
      <c r="H30" s="120" t="s">
        <v>30</v>
      </c>
      <c r="I30" s="219" t="s">
        <v>177</v>
      </c>
      <c r="J30" s="220"/>
      <c r="K30" s="220"/>
      <c r="L30" s="221"/>
      <c r="M30" s="112">
        <v>5</v>
      </c>
      <c r="N30" s="52">
        <v>1</v>
      </c>
      <c r="O30" s="53" t="s">
        <v>11</v>
      </c>
      <c r="P30" s="53" t="s">
        <v>12</v>
      </c>
      <c r="Q30" s="53" t="s">
        <v>12</v>
      </c>
      <c r="R30" s="53" t="s">
        <v>12</v>
      </c>
      <c r="S30" s="54">
        <f>IF(P30="Y",IF(O30="D",M30*N30,IF(O30="W",M30*(N30/5),IF(O30="M",M30*(N30/22),IF(O30="Y",M30*(N30/(22*12)), "")))),0)</f>
        <v>5</v>
      </c>
      <c r="T30" s="54">
        <f t="shared" ref="T30:T59" si="0">IF(Q30="Y",IF(O30="D",M30*N30,IF(O30="W",M30*(N30/5),IF(O30="M",M30*(N30/22),IF(O30="Y",M30*(N30/(22*12)), "")))),0)</f>
        <v>5</v>
      </c>
      <c r="U30" s="54">
        <f t="shared" ref="U30:U59" si="1">IF(R30="Y",IF(O30="D",M30*N30,IF(O30="W",M30*(N30/5),IF(O30="M",M30*(N30/22),IF(O30="Y",M30*(N30/(22*12)), "")))),0)</f>
        <v>5</v>
      </c>
    </row>
    <row r="31" spans="1:22" ht="41.5" customHeight="1" thickBot="1" x14ac:dyDescent="0.3">
      <c r="A31" s="55" t="s">
        <v>24</v>
      </c>
      <c r="B31" s="92">
        <v>32</v>
      </c>
      <c r="C31" s="231" t="s">
        <v>197</v>
      </c>
      <c r="D31" s="232"/>
      <c r="E31" s="232"/>
      <c r="F31" s="232"/>
      <c r="G31" s="233"/>
      <c r="H31" s="57"/>
      <c r="I31" s="234" t="s">
        <v>198</v>
      </c>
      <c r="J31" s="235"/>
      <c r="K31" s="235"/>
      <c r="L31" s="236"/>
      <c r="M31" s="116">
        <v>15</v>
      </c>
      <c r="N31" s="52">
        <v>1</v>
      </c>
      <c r="O31" s="53" t="s">
        <v>15</v>
      </c>
      <c r="P31" s="53" t="s">
        <v>16</v>
      </c>
      <c r="Q31" s="53" t="s">
        <v>16</v>
      </c>
      <c r="R31" s="53" t="s">
        <v>12</v>
      </c>
      <c r="S31" s="54">
        <f t="shared" ref="S31:S59" si="2">IF(P31="Y",IF(O31="D",M31*N31,IF(O31="W",M31*(N31/5),IF(O31="M",M31*(N31/22),IF(O31="Y",M31*(N31/(22*12)), "")))),0)</f>
        <v>0</v>
      </c>
      <c r="T31" s="54">
        <f t="shared" si="0"/>
        <v>0</v>
      </c>
      <c r="U31" s="54">
        <f t="shared" si="1"/>
        <v>3</v>
      </c>
    </row>
    <row r="32" spans="1:22" ht="40.5" customHeight="1" thickBot="1" x14ac:dyDescent="0.3">
      <c r="A32" s="55" t="s">
        <v>24</v>
      </c>
      <c r="B32" s="91">
        <v>33</v>
      </c>
      <c r="C32" s="231" t="s">
        <v>199</v>
      </c>
      <c r="D32" s="232"/>
      <c r="E32" s="232"/>
      <c r="F32" s="232"/>
      <c r="G32" s="233"/>
      <c r="H32" s="57"/>
      <c r="I32" s="237" t="s">
        <v>200</v>
      </c>
      <c r="J32" s="238"/>
      <c r="K32" s="238"/>
      <c r="L32" s="239"/>
      <c r="M32" s="116">
        <v>3</v>
      </c>
      <c r="N32" s="52">
        <v>1</v>
      </c>
      <c r="O32" s="53" t="s">
        <v>15</v>
      </c>
      <c r="P32" s="53" t="s">
        <v>12</v>
      </c>
      <c r="Q32" s="53" t="s">
        <v>12</v>
      </c>
      <c r="R32" s="53" t="s">
        <v>12</v>
      </c>
      <c r="S32" s="54">
        <f t="shared" si="2"/>
        <v>0.60000000000000009</v>
      </c>
      <c r="T32" s="54">
        <f t="shared" si="0"/>
        <v>0.60000000000000009</v>
      </c>
      <c r="U32" s="54">
        <f t="shared" si="1"/>
        <v>0.60000000000000009</v>
      </c>
    </row>
    <row r="33" spans="1:21" ht="30" customHeight="1" thickBot="1" x14ac:dyDescent="0.3">
      <c r="A33" s="55"/>
      <c r="B33" s="91"/>
      <c r="C33" s="225"/>
      <c r="D33" s="226"/>
      <c r="E33" s="226"/>
      <c r="F33" s="226"/>
      <c r="G33" s="227"/>
      <c r="H33" s="56"/>
      <c r="I33" s="228"/>
      <c r="J33" s="229"/>
      <c r="K33" s="229"/>
      <c r="L33" s="230"/>
      <c r="M33" s="112"/>
      <c r="N33" s="52"/>
      <c r="O33" s="53"/>
      <c r="P33" s="53"/>
      <c r="Q33" s="53"/>
      <c r="R33" s="53"/>
      <c r="S33" s="54">
        <f t="shared" si="2"/>
        <v>0</v>
      </c>
      <c r="T33" s="54">
        <f t="shared" si="0"/>
        <v>0</v>
      </c>
      <c r="U33" s="54">
        <f t="shared" si="1"/>
        <v>0</v>
      </c>
    </row>
    <row r="34" spans="1:21" ht="30" customHeight="1" thickBot="1" x14ac:dyDescent="0.3">
      <c r="A34" s="55"/>
      <c r="B34" s="91"/>
      <c r="C34" s="225"/>
      <c r="D34" s="226"/>
      <c r="E34" s="226"/>
      <c r="F34" s="226"/>
      <c r="G34" s="227"/>
      <c r="H34" s="56"/>
      <c r="I34" s="228"/>
      <c r="J34" s="229"/>
      <c r="K34" s="229"/>
      <c r="L34" s="230"/>
      <c r="M34" s="112"/>
      <c r="N34" s="52"/>
      <c r="O34" s="53"/>
      <c r="P34" s="53"/>
      <c r="Q34" s="53"/>
      <c r="R34" s="53"/>
      <c r="S34" s="54">
        <f t="shared" si="2"/>
        <v>0</v>
      </c>
      <c r="T34" s="54">
        <f t="shared" si="0"/>
        <v>0</v>
      </c>
      <c r="U34" s="54">
        <f t="shared" si="1"/>
        <v>0</v>
      </c>
    </row>
    <row r="35" spans="1:21" ht="30" customHeight="1" thickBot="1" x14ac:dyDescent="0.3">
      <c r="A35" s="55"/>
      <c r="B35" s="92"/>
      <c r="C35" s="225"/>
      <c r="D35" s="226"/>
      <c r="E35" s="226"/>
      <c r="F35" s="226"/>
      <c r="G35" s="227"/>
      <c r="H35" s="56"/>
      <c r="I35" s="228"/>
      <c r="J35" s="229"/>
      <c r="K35" s="229"/>
      <c r="L35" s="230"/>
      <c r="M35" s="112"/>
      <c r="N35" s="52"/>
      <c r="O35" s="53"/>
      <c r="P35" s="53"/>
      <c r="Q35" s="53"/>
      <c r="R35" s="53"/>
      <c r="S35" s="54">
        <f t="shared" si="2"/>
        <v>0</v>
      </c>
      <c r="T35" s="54">
        <f t="shared" si="0"/>
        <v>0</v>
      </c>
      <c r="U35" s="54">
        <f t="shared" si="1"/>
        <v>0</v>
      </c>
    </row>
    <row r="36" spans="1:21" ht="30" customHeight="1" thickBot="1" x14ac:dyDescent="0.3">
      <c r="A36" s="55"/>
      <c r="B36" s="7"/>
      <c r="C36" s="225"/>
      <c r="D36" s="226"/>
      <c r="E36" s="226"/>
      <c r="F36" s="226"/>
      <c r="G36" s="227"/>
      <c r="H36" s="56"/>
      <c r="I36" s="228"/>
      <c r="J36" s="229"/>
      <c r="K36" s="229"/>
      <c r="L36" s="230"/>
      <c r="M36" s="51"/>
      <c r="N36" s="52"/>
      <c r="O36" s="53"/>
      <c r="P36" s="53"/>
      <c r="Q36" s="53"/>
      <c r="R36" s="53"/>
      <c r="S36" s="54">
        <f t="shared" si="2"/>
        <v>0</v>
      </c>
      <c r="T36" s="54">
        <f t="shared" si="0"/>
        <v>0</v>
      </c>
      <c r="U36" s="54">
        <f t="shared" si="1"/>
        <v>0</v>
      </c>
    </row>
    <row r="37" spans="1:21" ht="30" customHeight="1" thickBot="1" x14ac:dyDescent="0.3">
      <c r="A37" s="55"/>
      <c r="B37" s="7"/>
      <c r="C37" s="225"/>
      <c r="D37" s="226"/>
      <c r="E37" s="226"/>
      <c r="F37" s="226"/>
      <c r="G37" s="227"/>
      <c r="H37" s="56"/>
      <c r="I37" s="228"/>
      <c r="J37" s="229"/>
      <c r="K37" s="229"/>
      <c r="L37" s="230"/>
      <c r="M37" s="59"/>
      <c r="N37" s="60"/>
      <c r="O37" s="61"/>
      <c r="P37" s="61"/>
      <c r="Q37" s="61"/>
      <c r="R37" s="61"/>
      <c r="S37" s="54">
        <f t="shared" si="2"/>
        <v>0</v>
      </c>
      <c r="T37" s="54">
        <f t="shared" si="0"/>
        <v>0</v>
      </c>
      <c r="U37" s="54">
        <f t="shared" si="1"/>
        <v>0</v>
      </c>
    </row>
    <row r="38" spans="1:21" ht="30" customHeight="1" thickBot="1" x14ac:dyDescent="0.3">
      <c r="A38" s="55"/>
      <c r="B38" s="7"/>
      <c r="C38" s="225"/>
      <c r="D38" s="226"/>
      <c r="E38" s="226"/>
      <c r="F38" s="226"/>
      <c r="G38" s="227"/>
      <c r="H38" s="87"/>
      <c r="I38" s="228"/>
      <c r="J38" s="229"/>
      <c r="K38" s="229"/>
      <c r="L38" s="230"/>
      <c r="M38" s="62"/>
      <c r="N38" s="63"/>
      <c r="O38" s="64"/>
      <c r="P38" s="64"/>
      <c r="Q38" s="64"/>
      <c r="R38" s="64"/>
      <c r="S38" s="54">
        <f t="shared" si="2"/>
        <v>0</v>
      </c>
      <c r="T38" s="54">
        <f t="shared" si="0"/>
        <v>0</v>
      </c>
      <c r="U38" s="54">
        <f t="shared" si="1"/>
        <v>0</v>
      </c>
    </row>
    <row r="39" spans="1:21" ht="30" customHeight="1" thickBot="1" x14ac:dyDescent="0.3">
      <c r="A39" s="55"/>
      <c r="B39" s="7"/>
      <c r="C39" s="225"/>
      <c r="D39" s="226"/>
      <c r="E39" s="226"/>
      <c r="F39" s="226"/>
      <c r="G39" s="227"/>
      <c r="H39" s="57"/>
      <c r="I39" s="228"/>
      <c r="J39" s="229"/>
      <c r="K39" s="229"/>
      <c r="L39" s="229"/>
      <c r="M39" s="65"/>
      <c r="N39" s="66"/>
      <c r="O39" s="67"/>
      <c r="P39" s="68"/>
      <c r="Q39" s="64"/>
      <c r="R39" s="64"/>
      <c r="S39" s="69">
        <f t="shared" si="2"/>
        <v>0</v>
      </c>
      <c r="T39" s="54">
        <f t="shared" si="0"/>
        <v>0</v>
      </c>
      <c r="U39" s="54">
        <f t="shared" si="1"/>
        <v>0</v>
      </c>
    </row>
    <row r="40" spans="1:21" ht="30" customHeight="1" thickBot="1" x14ac:dyDescent="0.3">
      <c r="A40" s="55"/>
      <c r="B40" s="7"/>
      <c r="C40" s="240"/>
      <c r="D40" s="241"/>
      <c r="E40" s="241"/>
      <c r="F40" s="241"/>
      <c r="G40" s="242"/>
      <c r="H40" s="57"/>
      <c r="I40" s="243"/>
      <c r="J40" s="244"/>
      <c r="K40" s="244"/>
      <c r="L40" s="245"/>
      <c r="M40" s="65"/>
      <c r="N40" s="52"/>
      <c r="O40" s="53"/>
      <c r="P40" s="68"/>
      <c r="Q40" s="64"/>
      <c r="R40" s="64"/>
      <c r="S40" s="69">
        <f t="shared" si="2"/>
        <v>0</v>
      </c>
      <c r="T40" s="54">
        <f t="shared" si="0"/>
        <v>0</v>
      </c>
      <c r="U40" s="54">
        <f t="shared" si="1"/>
        <v>0</v>
      </c>
    </row>
    <row r="41" spans="1:21" ht="30" customHeight="1" thickBot="1" x14ac:dyDescent="0.3">
      <c r="A41" s="55"/>
      <c r="B41" s="7"/>
      <c r="C41" s="240"/>
      <c r="D41" s="241"/>
      <c r="E41" s="241"/>
      <c r="F41" s="241"/>
      <c r="G41" s="242"/>
      <c r="H41" s="88"/>
      <c r="I41" s="243"/>
      <c r="J41" s="244"/>
      <c r="K41" s="244"/>
      <c r="L41" s="245"/>
      <c r="M41" s="65"/>
      <c r="N41" s="52"/>
      <c r="O41" s="53"/>
      <c r="P41" s="68"/>
      <c r="Q41" s="64"/>
      <c r="R41" s="64"/>
      <c r="S41" s="69">
        <f t="shared" si="2"/>
        <v>0</v>
      </c>
      <c r="T41" s="54">
        <f t="shared" si="0"/>
        <v>0</v>
      </c>
      <c r="U41" s="54">
        <f t="shared" si="1"/>
        <v>0</v>
      </c>
    </row>
    <row r="42" spans="1:21" ht="30" customHeight="1" thickBot="1" x14ac:dyDescent="0.3">
      <c r="A42" s="55"/>
      <c r="B42" s="7"/>
      <c r="C42" s="240"/>
      <c r="D42" s="241"/>
      <c r="E42" s="241"/>
      <c r="F42" s="241"/>
      <c r="G42" s="242"/>
      <c r="H42" s="89"/>
      <c r="I42" s="243"/>
      <c r="J42" s="244"/>
      <c r="K42" s="244"/>
      <c r="L42" s="245"/>
      <c r="M42" s="65"/>
      <c r="N42" s="52"/>
      <c r="O42" s="53"/>
      <c r="P42" s="68"/>
      <c r="Q42" s="64"/>
      <c r="R42" s="64"/>
      <c r="S42" s="69">
        <f t="shared" si="2"/>
        <v>0</v>
      </c>
      <c r="T42" s="54">
        <f t="shared" si="0"/>
        <v>0</v>
      </c>
      <c r="U42" s="54">
        <f t="shared" si="1"/>
        <v>0</v>
      </c>
    </row>
    <row r="43" spans="1:21" ht="30" customHeight="1" thickBot="1" x14ac:dyDescent="0.3">
      <c r="A43" s="55"/>
      <c r="B43" s="7"/>
      <c r="C43" s="240"/>
      <c r="D43" s="241"/>
      <c r="E43" s="241"/>
      <c r="F43" s="241"/>
      <c r="G43" s="242"/>
      <c r="H43" s="56"/>
      <c r="I43" s="243"/>
      <c r="J43" s="244"/>
      <c r="K43" s="244"/>
      <c r="L43" s="245"/>
      <c r="M43" s="65"/>
      <c r="N43" s="52"/>
      <c r="O43" s="53"/>
      <c r="P43" s="68"/>
      <c r="Q43" s="64"/>
      <c r="R43" s="64"/>
      <c r="S43" s="69">
        <f t="shared" si="2"/>
        <v>0</v>
      </c>
      <c r="T43" s="54">
        <f t="shared" si="0"/>
        <v>0</v>
      </c>
      <c r="U43" s="54">
        <f t="shared" si="1"/>
        <v>0</v>
      </c>
    </row>
    <row r="44" spans="1:21" ht="30" customHeight="1" thickBot="1" x14ac:dyDescent="0.3">
      <c r="A44" s="55"/>
      <c r="B44" s="7"/>
      <c r="C44" s="240"/>
      <c r="D44" s="241"/>
      <c r="E44" s="241"/>
      <c r="F44" s="241"/>
      <c r="G44" s="242"/>
      <c r="H44" s="88"/>
      <c r="I44" s="243"/>
      <c r="J44" s="244"/>
      <c r="K44" s="244"/>
      <c r="L44" s="245"/>
      <c r="M44" s="65"/>
      <c r="N44" s="52"/>
      <c r="O44" s="53"/>
      <c r="P44" s="68"/>
      <c r="Q44" s="64"/>
      <c r="R44" s="64"/>
      <c r="S44" s="69">
        <f t="shared" si="2"/>
        <v>0</v>
      </c>
      <c r="T44" s="54">
        <f t="shared" si="0"/>
        <v>0</v>
      </c>
      <c r="U44" s="54">
        <f t="shared" si="1"/>
        <v>0</v>
      </c>
    </row>
    <row r="45" spans="1:21" ht="30" customHeight="1" thickBot="1" x14ac:dyDescent="0.3">
      <c r="A45" s="55"/>
      <c r="B45" s="7"/>
      <c r="C45" s="240"/>
      <c r="D45" s="241"/>
      <c r="E45" s="241"/>
      <c r="F45" s="241"/>
      <c r="G45" s="242"/>
      <c r="H45" s="87"/>
      <c r="I45" s="243"/>
      <c r="J45" s="244"/>
      <c r="K45" s="244"/>
      <c r="L45" s="245"/>
      <c r="M45" s="65"/>
      <c r="N45" s="52"/>
      <c r="O45" s="53"/>
      <c r="P45" s="68"/>
      <c r="Q45" s="64"/>
      <c r="R45" s="64"/>
      <c r="S45" s="69">
        <f t="shared" si="2"/>
        <v>0</v>
      </c>
      <c r="T45" s="54">
        <f t="shared" si="0"/>
        <v>0</v>
      </c>
      <c r="U45" s="54">
        <f t="shared" si="1"/>
        <v>0</v>
      </c>
    </row>
    <row r="46" spans="1:21" ht="30" customHeight="1" thickBot="1" x14ac:dyDescent="0.3">
      <c r="A46" s="55"/>
      <c r="B46" s="7"/>
      <c r="C46" s="225"/>
      <c r="D46" s="226"/>
      <c r="E46" s="226"/>
      <c r="F46" s="226"/>
      <c r="G46" s="227"/>
      <c r="H46" s="57"/>
      <c r="I46" s="228"/>
      <c r="J46" s="229"/>
      <c r="K46" s="229"/>
      <c r="L46" s="230"/>
      <c r="M46" s="70"/>
      <c r="N46" s="71"/>
      <c r="O46" s="72"/>
      <c r="P46" s="68"/>
      <c r="Q46" s="64"/>
      <c r="R46" s="64"/>
      <c r="S46" s="54">
        <f t="shared" si="2"/>
        <v>0</v>
      </c>
      <c r="T46" s="54">
        <f t="shared" si="0"/>
        <v>0</v>
      </c>
      <c r="U46" s="54">
        <f t="shared" si="1"/>
        <v>0</v>
      </c>
    </row>
    <row r="47" spans="1:21" ht="30" customHeight="1" thickBot="1" x14ac:dyDescent="0.3">
      <c r="A47" s="55"/>
      <c r="B47" s="7"/>
      <c r="C47" s="225"/>
      <c r="D47" s="226"/>
      <c r="E47" s="226"/>
      <c r="F47" s="226"/>
      <c r="G47" s="227"/>
      <c r="H47" s="57"/>
      <c r="I47" s="228"/>
      <c r="J47" s="229"/>
      <c r="K47" s="229"/>
      <c r="L47" s="230"/>
      <c r="M47" s="59"/>
      <c r="N47" s="60"/>
      <c r="O47" s="61"/>
      <c r="P47" s="68"/>
      <c r="Q47" s="64"/>
      <c r="R47" s="64"/>
      <c r="S47" s="54">
        <f t="shared" si="2"/>
        <v>0</v>
      </c>
      <c r="T47" s="54">
        <f t="shared" si="0"/>
        <v>0</v>
      </c>
      <c r="U47" s="54">
        <f t="shared" si="1"/>
        <v>0</v>
      </c>
    </row>
    <row r="48" spans="1:21" ht="30" customHeight="1" thickBot="1" x14ac:dyDescent="0.3">
      <c r="A48" s="55"/>
      <c r="B48" s="7"/>
      <c r="C48" s="225"/>
      <c r="D48" s="226"/>
      <c r="E48" s="226"/>
      <c r="F48" s="226"/>
      <c r="G48" s="227"/>
      <c r="H48" s="57"/>
      <c r="I48" s="228"/>
      <c r="J48" s="229"/>
      <c r="K48" s="229"/>
      <c r="L48" s="230"/>
      <c r="M48" s="51"/>
      <c r="N48" s="52"/>
      <c r="O48" s="53"/>
      <c r="P48" s="53"/>
      <c r="Q48" s="53"/>
      <c r="R48" s="53"/>
      <c r="S48" s="54">
        <f t="shared" si="2"/>
        <v>0</v>
      </c>
      <c r="T48" s="54">
        <f t="shared" si="0"/>
        <v>0</v>
      </c>
      <c r="U48" s="54">
        <f t="shared" si="1"/>
        <v>0</v>
      </c>
    </row>
    <row r="49" spans="1:21" ht="30" customHeight="1" thickBot="1" x14ac:dyDescent="0.3">
      <c r="A49" s="55"/>
      <c r="B49" s="7"/>
      <c r="C49" s="225"/>
      <c r="D49" s="226"/>
      <c r="E49" s="226"/>
      <c r="F49" s="226"/>
      <c r="G49" s="227"/>
      <c r="H49" s="57"/>
      <c r="I49" s="228"/>
      <c r="J49" s="229"/>
      <c r="K49" s="229"/>
      <c r="L49" s="230"/>
      <c r="M49" s="51"/>
      <c r="N49" s="52"/>
      <c r="O49" s="53"/>
      <c r="P49" s="53"/>
      <c r="Q49" s="53"/>
      <c r="R49" s="53"/>
      <c r="S49" s="54">
        <f t="shared" si="2"/>
        <v>0</v>
      </c>
      <c r="T49" s="54">
        <f t="shared" si="0"/>
        <v>0</v>
      </c>
      <c r="U49" s="54">
        <f t="shared" si="1"/>
        <v>0</v>
      </c>
    </row>
    <row r="50" spans="1:21" ht="30" customHeight="1" thickBot="1" x14ac:dyDescent="0.3">
      <c r="A50" s="55"/>
      <c r="B50" s="7"/>
      <c r="C50" s="225"/>
      <c r="D50" s="226"/>
      <c r="E50" s="226"/>
      <c r="F50" s="226"/>
      <c r="G50" s="227"/>
      <c r="H50" s="57"/>
      <c r="I50" s="228"/>
      <c r="J50" s="229"/>
      <c r="K50" s="229"/>
      <c r="L50" s="230"/>
      <c r="M50" s="51"/>
      <c r="N50" s="52"/>
      <c r="O50" s="53"/>
      <c r="P50" s="53"/>
      <c r="Q50" s="53"/>
      <c r="R50" s="53"/>
      <c r="S50" s="54">
        <f t="shared" si="2"/>
        <v>0</v>
      </c>
      <c r="T50" s="54">
        <f t="shared" si="0"/>
        <v>0</v>
      </c>
      <c r="U50" s="54">
        <f t="shared" si="1"/>
        <v>0</v>
      </c>
    </row>
    <row r="51" spans="1:21" ht="30" customHeight="1" thickBot="1" x14ac:dyDescent="0.3">
      <c r="A51" s="55"/>
      <c r="B51" s="7"/>
      <c r="C51" s="225"/>
      <c r="D51" s="226"/>
      <c r="E51" s="226"/>
      <c r="F51" s="226"/>
      <c r="G51" s="227"/>
      <c r="H51" s="88"/>
      <c r="I51" s="228"/>
      <c r="J51" s="229"/>
      <c r="K51" s="229"/>
      <c r="L51" s="230"/>
      <c r="M51" s="51"/>
      <c r="N51" s="52"/>
      <c r="O51" s="53"/>
      <c r="P51" s="53"/>
      <c r="Q51" s="53"/>
      <c r="R51" s="53"/>
      <c r="S51" s="54">
        <f t="shared" si="2"/>
        <v>0</v>
      </c>
      <c r="T51" s="54">
        <f t="shared" si="0"/>
        <v>0</v>
      </c>
      <c r="U51" s="54">
        <f t="shared" si="1"/>
        <v>0</v>
      </c>
    </row>
    <row r="52" spans="1:21" ht="30" customHeight="1" thickBot="1" x14ac:dyDescent="0.3">
      <c r="A52" s="55"/>
      <c r="B52" s="7"/>
      <c r="C52" s="225"/>
      <c r="D52" s="226"/>
      <c r="E52" s="226"/>
      <c r="F52" s="226"/>
      <c r="G52" s="227"/>
      <c r="H52" s="87"/>
      <c r="I52" s="228"/>
      <c r="J52" s="229"/>
      <c r="K52" s="229"/>
      <c r="L52" s="230"/>
      <c r="M52" s="62"/>
      <c r="N52" s="63"/>
      <c r="O52" s="73"/>
      <c r="P52" s="73"/>
      <c r="Q52" s="73"/>
      <c r="R52" s="73"/>
      <c r="S52" s="54">
        <f t="shared" si="2"/>
        <v>0</v>
      </c>
      <c r="T52" s="54">
        <f t="shared" si="0"/>
        <v>0</v>
      </c>
      <c r="U52" s="54">
        <f t="shared" si="1"/>
        <v>0</v>
      </c>
    </row>
    <row r="53" spans="1:21" ht="30" customHeight="1" thickBot="1" x14ac:dyDescent="0.3">
      <c r="A53" s="55"/>
      <c r="B53" s="7"/>
      <c r="C53" s="225"/>
      <c r="D53" s="226"/>
      <c r="E53" s="226"/>
      <c r="F53" s="226"/>
      <c r="G53" s="227"/>
      <c r="H53" s="56"/>
      <c r="I53" s="228"/>
      <c r="J53" s="229"/>
      <c r="K53" s="229"/>
      <c r="L53" s="230"/>
      <c r="M53" s="51"/>
      <c r="N53" s="52"/>
      <c r="O53" s="53"/>
      <c r="P53" s="53"/>
      <c r="Q53" s="53"/>
      <c r="R53" s="53"/>
      <c r="S53" s="54">
        <f t="shared" si="2"/>
        <v>0</v>
      </c>
      <c r="T53" s="54">
        <f t="shared" si="0"/>
        <v>0</v>
      </c>
      <c r="U53" s="54">
        <f t="shared" si="1"/>
        <v>0</v>
      </c>
    </row>
    <row r="54" spans="1:21" ht="30" customHeight="1" thickBot="1" x14ac:dyDescent="0.3">
      <c r="A54" s="55"/>
      <c r="B54" s="7"/>
      <c r="C54" s="225"/>
      <c r="D54" s="226"/>
      <c r="E54" s="226"/>
      <c r="F54" s="226"/>
      <c r="G54" s="227"/>
      <c r="H54" s="88"/>
      <c r="I54" s="228"/>
      <c r="J54" s="229"/>
      <c r="K54" s="229"/>
      <c r="L54" s="230"/>
      <c r="M54" s="51"/>
      <c r="N54" s="52"/>
      <c r="O54" s="53"/>
      <c r="P54" s="53"/>
      <c r="Q54" s="53"/>
      <c r="R54" s="53"/>
      <c r="S54" s="54">
        <f t="shared" si="2"/>
        <v>0</v>
      </c>
      <c r="T54" s="54">
        <f t="shared" si="0"/>
        <v>0</v>
      </c>
      <c r="U54" s="54">
        <f t="shared" si="1"/>
        <v>0</v>
      </c>
    </row>
    <row r="55" spans="1:21" ht="30" customHeight="1" thickBot="1" x14ac:dyDescent="0.3">
      <c r="A55" s="55"/>
      <c r="B55" s="7"/>
      <c r="C55" s="225"/>
      <c r="D55" s="226"/>
      <c r="E55" s="226"/>
      <c r="F55" s="226"/>
      <c r="G55" s="227"/>
      <c r="H55" s="90"/>
      <c r="I55" s="228"/>
      <c r="J55" s="229"/>
      <c r="K55" s="229"/>
      <c r="L55" s="230"/>
      <c r="M55" s="59"/>
      <c r="N55" s="60"/>
      <c r="O55" s="61"/>
      <c r="P55" s="61"/>
      <c r="Q55" s="61"/>
      <c r="R55" s="61"/>
      <c r="S55" s="54">
        <f t="shared" si="2"/>
        <v>0</v>
      </c>
      <c r="T55" s="54">
        <f t="shared" si="0"/>
        <v>0</v>
      </c>
      <c r="U55" s="54">
        <f t="shared" si="1"/>
        <v>0</v>
      </c>
    </row>
    <row r="56" spans="1:21" ht="30" customHeight="1" thickBot="1" x14ac:dyDescent="0.3">
      <c r="A56" s="55"/>
      <c r="B56" s="7"/>
      <c r="C56" s="225"/>
      <c r="D56" s="226"/>
      <c r="E56" s="226"/>
      <c r="F56" s="226"/>
      <c r="G56" s="227"/>
      <c r="H56" s="57"/>
      <c r="I56" s="228"/>
      <c r="J56" s="229"/>
      <c r="K56" s="229"/>
      <c r="L56" s="230"/>
      <c r="M56" s="51"/>
      <c r="N56" s="52"/>
      <c r="O56" s="53"/>
      <c r="P56" s="53"/>
      <c r="Q56" s="53"/>
      <c r="R56" s="53"/>
      <c r="S56" s="54">
        <f t="shared" si="2"/>
        <v>0</v>
      </c>
      <c r="T56" s="54">
        <f t="shared" si="0"/>
        <v>0</v>
      </c>
      <c r="U56" s="54">
        <f t="shared" si="1"/>
        <v>0</v>
      </c>
    </row>
    <row r="57" spans="1:21" ht="30" customHeight="1" thickBot="1" x14ac:dyDescent="0.3">
      <c r="A57" s="55"/>
      <c r="B57" s="7"/>
      <c r="C57" s="225"/>
      <c r="D57" s="226"/>
      <c r="E57" s="226"/>
      <c r="F57" s="226"/>
      <c r="G57" s="227"/>
      <c r="H57" s="57"/>
      <c r="I57" s="228"/>
      <c r="J57" s="229"/>
      <c r="K57" s="229"/>
      <c r="L57" s="230"/>
      <c r="M57" s="51"/>
      <c r="N57" s="52"/>
      <c r="O57" s="53"/>
      <c r="P57" s="53"/>
      <c r="Q57" s="53"/>
      <c r="R57" s="53"/>
      <c r="S57" s="54">
        <f t="shared" si="2"/>
        <v>0</v>
      </c>
      <c r="T57" s="54">
        <f t="shared" si="0"/>
        <v>0</v>
      </c>
      <c r="U57" s="54">
        <f t="shared" si="1"/>
        <v>0</v>
      </c>
    </row>
    <row r="58" spans="1:21" ht="30" customHeight="1" thickBot="1" x14ac:dyDescent="0.3">
      <c r="A58" s="55"/>
      <c r="B58" s="7"/>
      <c r="C58" s="225"/>
      <c r="D58" s="226"/>
      <c r="E58" s="226"/>
      <c r="F58" s="226"/>
      <c r="G58" s="227"/>
      <c r="H58" s="88"/>
      <c r="I58" s="228"/>
      <c r="J58" s="229"/>
      <c r="K58" s="229"/>
      <c r="L58" s="230"/>
      <c r="M58" s="51"/>
      <c r="N58" s="52"/>
      <c r="O58" s="53"/>
      <c r="P58" s="53"/>
      <c r="Q58" s="53"/>
      <c r="R58" s="53"/>
      <c r="S58" s="54">
        <f t="shared" si="2"/>
        <v>0</v>
      </c>
      <c r="T58" s="54">
        <f t="shared" si="0"/>
        <v>0</v>
      </c>
      <c r="U58" s="54">
        <f t="shared" si="1"/>
        <v>0</v>
      </c>
    </row>
    <row r="59" spans="1:21" ht="30" customHeight="1" thickBot="1" x14ac:dyDescent="0.3">
      <c r="A59" s="19"/>
      <c r="B59" s="18"/>
      <c r="C59" s="240"/>
      <c r="D59" s="241"/>
      <c r="E59" s="241"/>
      <c r="F59" s="241"/>
      <c r="G59" s="242"/>
      <c r="H59" s="56"/>
      <c r="I59" s="243"/>
      <c r="J59" s="244"/>
      <c r="K59" s="244"/>
      <c r="L59" s="245"/>
      <c r="M59" s="51"/>
      <c r="N59" s="52"/>
      <c r="O59" s="53"/>
      <c r="P59" s="53"/>
      <c r="Q59" s="53"/>
      <c r="R59" s="53"/>
      <c r="S59" s="54">
        <f t="shared" si="2"/>
        <v>0</v>
      </c>
      <c r="T59" s="54">
        <f t="shared" si="0"/>
        <v>0</v>
      </c>
      <c r="U59" s="54">
        <f t="shared" si="1"/>
        <v>0</v>
      </c>
    </row>
    <row r="60" spans="1:21" ht="16" thickBot="1" x14ac:dyDescent="0.3">
      <c r="A60" s="74"/>
      <c r="B60" s="75"/>
      <c r="C60" s="75"/>
      <c r="D60" s="75"/>
      <c r="E60" s="75"/>
      <c r="F60" s="75"/>
      <c r="G60" s="75"/>
      <c r="H60" s="75"/>
      <c r="I60" s="76"/>
      <c r="J60" s="77"/>
      <c r="K60" s="77"/>
      <c r="L60" s="2"/>
      <c r="M60" s="78"/>
      <c r="N60" s="78"/>
      <c r="O60" s="79" t="s">
        <v>178</v>
      </c>
      <c r="P60" s="79"/>
      <c r="Q60" s="79"/>
      <c r="R60" s="79"/>
      <c r="S60" s="80">
        <f>SUM(S30:S59)+SUM('J1-Page1'!S30:S59)</f>
        <v>427.41818181818184</v>
      </c>
      <c r="T60" s="80">
        <f>SUM(T30:T59)+SUM('J1-Page1'!T30:T59)</f>
        <v>427.41818181818184</v>
      </c>
      <c r="U60" s="80">
        <f>SUM(U30:U59)+SUM('J1-Page1'!U30:U59)</f>
        <v>430.41818181818184</v>
      </c>
    </row>
    <row r="61" spans="1:21" ht="16" thickBot="1" x14ac:dyDescent="0.3">
      <c r="A61" s="246" t="s">
        <v>163</v>
      </c>
      <c r="B61" s="247"/>
      <c r="C61" s="247"/>
      <c r="D61" s="247"/>
      <c r="E61" s="247"/>
      <c r="F61" s="247"/>
      <c r="G61" s="247"/>
      <c r="H61" s="247"/>
      <c r="I61" s="248"/>
      <c r="J61" s="249" t="s">
        <v>164</v>
      </c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1"/>
    </row>
    <row r="62" spans="1:21" ht="16" thickBot="1" x14ac:dyDescent="0.3">
      <c r="A62" s="206" t="s">
        <v>165</v>
      </c>
      <c r="B62" s="208"/>
      <c r="C62" s="262" t="s">
        <v>25</v>
      </c>
      <c r="D62" s="263"/>
      <c r="E62" s="264" t="s">
        <v>166</v>
      </c>
      <c r="F62" s="265"/>
      <c r="G62" s="266"/>
      <c r="H62" s="267"/>
      <c r="I62" s="268"/>
      <c r="J62" s="6" t="s">
        <v>21</v>
      </c>
      <c r="K62" s="5"/>
      <c r="L62" s="6" t="s">
        <v>167</v>
      </c>
      <c r="M62" s="15"/>
      <c r="N62" s="269" t="s">
        <v>168</v>
      </c>
      <c r="O62" s="270"/>
      <c r="P62" s="270"/>
      <c r="Q62" s="270"/>
      <c r="R62" s="270"/>
      <c r="S62" s="270"/>
      <c r="T62" s="270"/>
      <c r="U62" s="271"/>
    </row>
    <row r="63" spans="1:21" ht="16" customHeight="1" thickBot="1" x14ac:dyDescent="0.3">
      <c r="A63" s="272">
        <v>1</v>
      </c>
      <c r="B63" s="4" t="s">
        <v>169</v>
      </c>
      <c r="C63" s="274"/>
      <c r="D63" s="275"/>
      <c r="E63" s="276"/>
      <c r="F63" s="277"/>
      <c r="G63" s="278"/>
      <c r="H63" s="276"/>
      <c r="I63" s="278"/>
      <c r="J63" s="260">
        <v>45314</v>
      </c>
      <c r="K63" s="261"/>
      <c r="L63" s="252" t="s">
        <v>170</v>
      </c>
      <c r="M63" s="253"/>
      <c r="N63" s="252" t="s">
        <v>171</v>
      </c>
      <c r="O63" s="254"/>
      <c r="P63" s="254"/>
      <c r="Q63" s="254"/>
      <c r="R63" s="254"/>
      <c r="S63" s="254"/>
      <c r="T63" s="254"/>
      <c r="U63" s="253"/>
    </row>
    <row r="64" spans="1:21" ht="16" customHeight="1" thickBot="1" x14ac:dyDescent="0.3">
      <c r="A64" s="273"/>
      <c r="B64" s="3" t="s">
        <v>172</v>
      </c>
      <c r="C64" s="255"/>
      <c r="D64" s="256"/>
      <c r="E64" s="257"/>
      <c r="F64" s="258"/>
      <c r="G64" s="259"/>
      <c r="H64" s="257"/>
      <c r="I64" s="259"/>
      <c r="J64" s="260">
        <v>45482</v>
      </c>
      <c r="K64" s="261"/>
      <c r="L64" s="252" t="s">
        <v>170</v>
      </c>
      <c r="M64" s="253"/>
      <c r="N64" s="252" t="s">
        <v>173</v>
      </c>
      <c r="O64" s="254"/>
      <c r="P64" s="254"/>
      <c r="Q64" s="254"/>
      <c r="R64" s="254"/>
      <c r="S64" s="254"/>
      <c r="T64" s="254"/>
      <c r="U64" s="253"/>
    </row>
    <row r="65" spans="1:21" ht="16" customHeight="1" thickBot="1" x14ac:dyDescent="0.3">
      <c r="A65" s="272">
        <v>2</v>
      </c>
      <c r="B65" s="4" t="s">
        <v>169</v>
      </c>
      <c r="C65" s="274"/>
      <c r="D65" s="275"/>
      <c r="E65" s="276"/>
      <c r="F65" s="277"/>
      <c r="G65" s="278"/>
      <c r="H65" s="276"/>
      <c r="I65" s="278"/>
      <c r="J65" s="282">
        <v>45710</v>
      </c>
      <c r="K65" s="283"/>
      <c r="L65" s="252" t="s">
        <v>170</v>
      </c>
      <c r="M65" s="253"/>
      <c r="N65" s="279" t="s">
        <v>174</v>
      </c>
      <c r="O65" s="280"/>
      <c r="P65" s="280"/>
      <c r="Q65" s="280"/>
      <c r="R65" s="280"/>
      <c r="S65" s="280"/>
      <c r="T65" s="280"/>
      <c r="U65" s="281"/>
    </row>
    <row r="66" spans="1:21" ht="16" customHeight="1" thickBot="1" x14ac:dyDescent="0.3">
      <c r="A66" s="273"/>
      <c r="B66" s="3" t="s">
        <v>172</v>
      </c>
      <c r="C66" s="255"/>
      <c r="D66" s="256"/>
      <c r="E66" s="257"/>
      <c r="F66" s="258"/>
      <c r="G66" s="259"/>
      <c r="H66" s="257"/>
      <c r="I66" s="259"/>
      <c r="J66" s="282">
        <v>46057</v>
      </c>
      <c r="K66" s="283"/>
      <c r="L66" s="279" t="s">
        <v>204</v>
      </c>
      <c r="M66" s="281"/>
      <c r="N66" s="279" t="s">
        <v>174</v>
      </c>
      <c r="O66" s="280"/>
      <c r="P66" s="280"/>
      <c r="Q66" s="280"/>
      <c r="R66" s="280"/>
      <c r="S66" s="280"/>
      <c r="T66" s="280"/>
      <c r="U66" s="281"/>
    </row>
    <row r="67" spans="1:21" ht="25" customHeight="1" thickBot="1" x14ac:dyDescent="0.3">
      <c r="A67" s="286">
        <v>3</v>
      </c>
      <c r="B67" s="4" t="s">
        <v>169</v>
      </c>
      <c r="C67" s="274"/>
      <c r="D67" s="275"/>
      <c r="E67" s="276"/>
      <c r="F67" s="277"/>
      <c r="G67" s="278"/>
      <c r="H67" s="276"/>
      <c r="I67" s="278"/>
      <c r="J67" s="282">
        <v>46114</v>
      </c>
      <c r="K67" s="283"/>
      <c r="L67" s="279" t="s">
        <v>205</v>
      </c>
      <c r="M67" s="285"/>
      <c r="N67" s="279" t="s">
        <v>201</v>
      </c>
      <c r="O67" s="284"/>
      <c r="P67" s="284"/>
      <c r="Q67" s="284"/>
      <c r="R67" s="284"/>
      <c r="S67" s="284"/>
      <c r="T67" s="284"/>
      <c r="U67" s="285"/>
    </row>
    <row r="68" spans="1:21" ht="16" customHeight="1" thickBot="1" x14ac:dyDescent="0.3">
      <c r="A68" s="287"/>
      <c r="B68" s="3" t="s">
        <v>172</v>
      </c>
      <c r="C68" s="255"/>
      <c r="D68" s="256"/>
      <c r="E68" s="257"/>
      <c r="F68" s="258"/>
      <c r="G68" s="259"/>
      <c r="H68" s="257"/>
      <c r="I68" s="259"/>
      <c r="J68" s="282"/>
      <c r="K68" s="283"/>
      <c r="L68" s="279"/>
      <c r="M68" s="285"/>
      <c r="N68" s="279"/>
      <c r="O68" s="284"/>
      <c r="P68" s="284"/>
      <c r="Q68" s="284"/>
      <c r="R68" s="284"/>
      <c r="S68" s="284"/>
      <c r="T68" s="284"/>
      <c r="U68" s="285"/>
    </row>
  </sheetData>
  <mergeCells count="190">
    <mergeCell ref="N67:U67"/>
    <mergeCell ref="C68:D68"/>
    <mergeCell ref="E68:G68"/>
    <mergeCell ref="H68:I68"/>
    <mergeCell ref="J68:K68"/>
    <mergeCell ref="L68:M68"/>
    <mergeCell ref="N68:U68"/>
    <mergeCell ref="A67:A68"/>
    <mergeCell ref="C67:D67"/>
    <mergeCell ref="E67:G67"/>
    <mergeCell ref="H67:I67"/>
    <mergeCell ref="J67:K67"/>
    <mergeCell ref="L67:M67"/>
    <mergeCell ref="N65:U65"/>
    <mergeCell ref="C66:D66"/>
    <mergeCell ref="E66:G66"/>
    <mergeCell ref="H66:I66"/>
    <mergeCell ref="J66:K66"/>
    <mergeCell ref="L66:M66"/>
    <mergeCell ref="N66:U66"/>
    <mergeCell ref="A65:A66"/>
    <mergeCell ref="C65:D65"/>
    <mergeCell ref="E65:G65"/>
    <mergeCell ref="H65:I65"/>
    <mergeCell ref="J65:K65"/>
    <mergeCell ref="L65:M65"/>
    <mergeCell ref="L63:M63"/>
    <mergeCell ref="N63:U63"/>
    <mergeCell ref="C64:D64"/>
    <mergeCell ref="E64:G64"/>
    <mergeCell ref="H64:I64"/>
    <mergeCell ref="J64:K64"/>
    <mergeCell ref="L64:M64"/>
    <mergeCell ref="N64:U64"/>
    <mergeCell ref="A62:B62"/>
    <mergeCell ref="C62:D62"/>
    <mergeCell ref="E62:G62"/>
    <mergeCell ref="H62:I62"/>
    <mergeCell ref="N62:U62"/>
    <mergeCell ref="A63:A64"/>
    <mergeCell ref="C63:D63"/>
    <mergeCell ref="E63:G63"/>
    <mergeCell ref="H63:I63"/>
    <mergeCell ref="J63:K63"/>
    <mergeCell ref="C58:G58"/>
    <mergeCell ref="I58:L58"/>
    <mergeCell ref="C59:G59"/>
    <mergeCell ref="I59:L59"/>
    <mergeCell ref="A61:I61"/>
    <mergeCell ref="J61:U61"/>
    <mergeCell ref="C55:G55"/>
    <mergeCell ref="I55:L55"/>
    <mergeCell ref="C56:G56"/>
    <mergeCell ref="I56:L56"/>
    <mergeCell ref="C57:G57"/>
    <mergeCell ref="I57:L57"/>
    <mergeCell ref="C52:G52"/>
    <mergeCell ref="I52:L52"/>
    <mergeCell ref="C53:G53"/>
    <mergeCell ref="I53:L53"/>
    <mergeCell ref="C54:G54"/>
    <mergeCell ref="I54:L54"/>
    <mergeCell ref="C49:G49"/>
    <mergeCell ref="I49:L49"/>
    <mergeCell ref="C50:G50"/>
    <mergeCell ref="I50:L50"/>
    <mergeCell ref="C51:G51"/>
    <mergeCell ref="I51:L51"/>
    <mergeCell ref="C46:G46"/>
    <mergeCell ref="I46:L46"/>
    <mergeCell ref="C47:G47"/>
    <mergeCell ref="I47:L47"/>
    <mergeCell ref="C48:G48"/>
    <mergeCell ref="I48:L48"/>
    <mergeCell ref="C43:G43"/>
    <mergeCell ref="I43:L43"/>
    <mergeCell ref="C44:G44"/>
    <mergeCell ref="I44:L44"/>
    <mergeCell ref="C45:G45"/>
    <mergeCell ref="I45:L45"/>
    <mergeCell ref="C40:G40"/>
    <mergeCell ref="I40:L40"/>
    <mergeCell ref="C41:G41"/>
    <mergeCell ref="I41:L41"/>
    <mergeCell ref="C42:G42"/>
    <mergeCell ref="I42:L42"/>
    <mergeCell ref="C37:G37"/>
    <mergeCell ref="I37:L37"/>
    <mergeCell ref="C38:G38"/>
    <mergeCell ref="I38:L38"/>
    <mergeCell ref="C39:G39"/>
    <mergeCell ref="I39:L39"/>
    <mergeCell ref="C34:G34"/>
    <mergeCell ref="I34:L34"/>
    <mergeCell ref="C35:G35"/>
    <mergeCell ref="I35:L35"/>
    <mergeCell ref="C36:G36"/>
    <mergeCell ref="I36:L36"/>
    <mergeCell ref="C31:G31"/>
    <mergeCell ref="I31:L31"/>
    <mergeCell ref="C32:G32"/>
    <mergeCell ref="I32:L32"/>
    <mergeCell ref="C33:G33"/>
    <mergeCell ref="I33:L33"/>
    <mergeCell ref="C28:G28"/>
    <mergeCell ref="I28:L28"/>
    <mergeCell ref="N28:O29"/>
    <mergeCell ref="P28:R28"/>
    <mergeCell ref="S28:U28"/>
    <mergeCell ref="C30:G30"/>
    <mergeCell ref="I30:L30"/>
    <mergeCell ref="B25:D25"/>
    <mergeCell ref="G25:H25"/>
    <mergeCell ref="K25:N25"/>
    <mergeCell ref="B26:D26"/>
    <mergeCell ref="G26:H26"/>
    <mergeCell ref="K26:N26"/>
    <mergeCell ref="K18:N18"/>
    <mergeCell ref="B19:D19"/>
    <mergeCell ref="G19:H19"/>
    <mergeCell ref="B22:D22"/>
    <mergeCell ref="G22:H22"/>
    <mergeCell ref="J22:J26"/>
    <mergeCell ref="K22:N22"/>
    <mergeCell ref="B23:D23"/>
    <mergeCell ref="G23:H23"/>
    <mergeCell ref="K23:N23"/>
    <mergeCell ref="B24:D24"/>
    <mergeCell ref="G24:H24"/>
    <mergeCell ref="K24:N24"/>
    <mergeCell ref="A14:A26"/>
    <mergeCell ref="B14:D14"/>
    <mergeCell ref="G14:H14"/>
    <mergeCell ref="J14:J21"/>
    <mergeCell ref="K14:N14"/>
    <mergeCell ref="B15:D15"/>
    <mergeCell ref="G15:H15"/>
    <mergeCell ref="K15:N15"/>
    <mergeCell ref="B16:D16"/>
    <mergeCell ref="G16:H16"/>
    <mergeCell ref="K19:N19"/>
    <mergeCell ref="B20:D20"/>
    <mergeCell ref="G20:H20"/>
    <mergeCell ref="K20:N20"/>
    <mergeCell ref="B21:D21"/>
    <mergeCell ref="G21:H21"/>
    <mergeCell ref="K21:N21"/>
    <mergeCell ref="K16:N16"/>
    <mergeCell ref="B17:D17"/>
    <mergeCell ref="F17:F26"/>
    <mergeCell ref="G17:H17"/>
    <mergeCell ref="K17:N17"/>
    <mergeCell ref="B18:D18"/>
    <mergeCell ref="G18:H18"/>
    <mergeCell ref="A5:E5"/>
    <mergeCell ref="F5:H5"/>
    <mergeCell ref="J5:U5"/>
    <mergeCell ref="G6:O6"/>
    <mergeCell ref="A8:A13"/>
    <mergeCell ref="B8:D8"/>
    <mergeCell ref="F8:F16"/>
    <mergeCell ref="G8:H8"/>
    <mergeCell ref="J8:J13"/>
    <mergeCell ref="K8:N8"/>
    <mergeCell ref="B11:D11"/>
    <mergeCell ref="G11:H11"/>
    <mergeCell ref="K11:N11"/>
    <mergeCell ref="B12:D12"/>
    <mergeCell ref="G12:H12"/>
    <mergeCell ref="B13:D13"/>
    <mergeCell ref="G13:H13"/>
    <mergeCell ref="K13:N13"/>
    <mergeCell ref="B9:D9"/>
    <mergeCell ref="G9:H9"/>
    <mergeCell ref="K9:N9"/>
    <mergeCell ref="B10:D10"/>
    <mergeCell ref="G10:H10"/>
    <mergeCell ref="K10:N10"/>
    <mergeCell ref="A3:E3"/>
    <mergeCell ref="F3:H3"/>
    <mergeCell ref="I3:U3"/>
    <mergeCell ref="A4:E4"/>
    <mergeCell ref="F4:H4"/>
    <mergeCell ref="J4:U4"/>
    <mergeCell ref="A1:B1"/>
    <mergeCell ref="C1:D1"/>
    <mergeCell ref="E1:U1"/>
    <mergeCell ref="A2:E2"/>
    <mergeCell ref="F2:H2"/>
    <mergeCell ref="I2:U2"/>
  </mergeCells>
  <conditionalFormatting sqref="A30:A59">
    <cfRule type="containsText" dxfId="15" priority="1" operator="containsText" text="E">
      <formula>NOT(ISERROR(SEARCH("E",A30)))</formula>
    </cfRule>
    <cfRule type="containsText" dxfId="14" priority="2" operator="containsText" text="C">
      <formula>NOT(ISERROR(SEARCH("C",A30)))</formula>
    </cfRule>
    <cfRule type="containsText" dxfId="13" priority="3" operator="containsText" text="R">
      <formula>NOT(ISERROR(SEARCH("R",A30)))</formula>
    </cfRule>
    <cfRule type="containsText" dxfId="12" priority="4" operator="containsText" text="Q">
      <formula>NOT(ISERROR(SEARCH("Q",A30)))</formula>
    </cfRule>
    <cfRule type="containsText" dxfId="11" priority="5" operator="containsText" text="P">
      <formula>NOT(ISERROR(SEARCH("P",A30)))</formula>
    </cfRule>
    <cfRule type="containsText" dxfId="10" priority="6" operator="containsText" text="S">
      <formula>NOT(ISERROR(SEARCH("S",A30)))</formula>
    </cfRule>
    <cfRule type="expression" dxfId="9" priority="7">
      <formula>$A30=S</formula>
    </cfRule>
  </conditionalFormatting>
  <conditionalFormatting sqref="S30:U59">
    <cfRule type="cellIs" dxfId="8" priority="29" stopIfTrue="1" operator="equal">
      <formula>FALSE</formula>
    </cfRule>
  </conditionalFormatting>
  <dataValidations count="9">
    <dataValidation type="list" showInputMessage="1" showErrorMessage="1" sqref="A30:A59" xr:uid="{069CC56D-D24F-476E-94D1-2599B591DA40}">
      <formula1>$AF$2:$AF$7</formula1>
    </dataValidation>
    <dataValidation type="list" allowBlank="1" showInputMessage="1" showErrorMessage="1" errorTitle="Frequency Interval" error="Please Choose Day, Week, Month, or Year" promptTitle="Frequency Interval" prompt="Please Choose Day, Week, Month, or Year" sqref="O30:O59" xr:uid="{0CD378CE-3CD9-49D7-9303-0D97BC2FC5A7}">
      <formula1>$AC$2:$AC$5</formula1>
    </dataValidation>
    <dataValidation type="decimal" allowBlank="1" showInputMessage="1" showErrorMessage="1" errorTitle="Task Cycle Time" error="Please enter Task Cycle Time between 0 and 4800" promptTitle="Task Cycle Time" prompt="Please enter Task Cycle Time between 0 and 4800" sqref="M30:M59" xr:uid="{70BDA8A7-6A5A-4B97-847D-60C04984D414}">
      <formula1>0</formula1>
      <formula2>4800</formula2>
    </dataValidation>
    <dataValidation type="whole" allowBlank="1" showInputMessage="1" showErrorMessage="1" errorTitle="Task Frequency" error="Please enter Task Frequency between 0 and 100" promptTitle="Task Frequency" prompt="Please enter Task Frequency between 0 and 100. Tasks that are done as-needed on an irregular basis should have Frequency = 0." sqref="N30:N59" xr:uid="{FDCB614D-73CA-4E80-8A8A-AAD5DB337B62}">
      <formula1>0</formula1>
      <formula2>100</formula2>
    </dataValidation>
    <dataValidation type="list" allowBlank="1" showInputMessage="1" showErrorMessage="1" sqref="P30:R59" xr:uid="{2DD4DD74-CA8F-4AA6-B5C6-CF32D77F3BAA}">
      <formula1>$AD$2:$AD$3</formula1>
    </dataValidation>
    <dataValidation type="date" allowBlank="1" showInputMessage="1" showErrorMessage="1" errorTitle="Change Date" error="Please enter Change Date between 1/1/2007 and 1/1/2020" promptTitle="Change Date" prompt="Please enter Change Date between 1/1/2007 and 1/1/2020" sqref="J65:K68" xr:uid="{CF262F87-C012-47D7-B6B7-C57454FE7521}">
      <formula1>39083</formula1>
      <formula2>73051</formula2>
    </dataValidation>
    <dataValidation type="list" allowBlank="1" showInputMessage="1" showErrorMessage="1" sqref="F3:H3" xr:uid="{13175BE0-1781-4EA3-837E-740F32EDD9B0}">
      <formula1>$AB$2:$AB$5</formula1>
    </dataValidation>
    <dataValidation operator="lessThanOrEqual" allowBlank="1" showInputMessage="1" showErrorMessage="1" errorTitle="Task Number" error="Please enter alpha-numeric Task Number with five characters or less" promptTitle="Task Number" prompt="Please enter alpha-numeric Task Number with five characters or less" sqref="H58 H42 H44:H45 H51:H52 H54:H55" xr:uid="{0D413502-48DC-494F-A3F0-430F8E146F38}"/>
    <dataValidation type="textLength" operator="lessThanOrEqual" allowBlank="1" showInputMessage="1" showErrorMessage="1" errorTitle="Task Number" error="Please enter alpha-numeric Task Number with five characters or less" promptTitle="Task Number" prompt="Please enter alpha-numeric Task Number with five characters or less" sqref="H38 H41 H30" xr:uid="{78B28767-C008-4DD0-841A-035FCE49D93A}">
      <formula1>5</formula1>
    </dataValidation>
  </dataValidations>
  <pageMargins left="0.25" right="0" top="0.25" bottom="0.25" header="0" footer="0.25"/>
  <pageSetup scale="45" orientation="portrait" r:id="rId1"/>
  <headerFooter>
    <oddFooter>&amp;LAPP06-F08&amp;RRevised : 4/8/25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3978A-8AC0-426E-B565-733CFED52F7B}">
  <sheetPr>
    <pageSetUpPr fitToPage="1"/>
  </sheetPr>
  <dimension ref="A1:AF68"/>
  <sheetViews>
    <sheetView view="pageBreakPreview" zoomScale="70" zoomScaleNormal="100" zoomScaleSheetLayoutView="70" workbookViewId="0">
      <pane ySplit="5" topLeftCell="A6" activePane="bottomLeft" state="frozen"/>
      <selection activeCell="C38" sqref="C38:G38"/>
      <selection pane="bottomLeft" activeCell="G13" sqref="G13:H13"/>
    </sheetView>
  </sheetViews>
  <sheetFormatPr defaultColWidth="9.26953125" defaultRowHeight="12.5" x14ac:dyDescent="0.25"/>
  <cols>
    <col min="1" max="1" width="2.81640625" style="1" customWidth="1"/>
    <col min="2" max="2" width="6.26953125" style="1" customWidth="1"/>
    <col min="3" max="3" width="12.26953125" style="1" customWidth="1"/>
    <col min="4" max="4" width="29.453125" style="1" customWidth="1"/>
    <col min="5" max="6" width="4.7265625" style="1" customWidth="1"/>
    <col min="7" max="7" width="41.1796875" style="1" customWidth="1"/>
    <col min="8" max="8" width="12.54296875" style="1" customWidth="1"/>
    <col min="9" max="9" width="11.7265625" style="1" customWidth="1"/>
    <col min="10" max="10" width="4.7265625" style="1" customWidth="1"/>
    <col min="11" max="11" width="20.54296875" style="1" customWidth="1"/>
    <col min="12" max="12" width="4.7265625" style="1" customWidth="1"/>
    <col min="13" max="13" width="8.1796875" style="1" customWidth="1"/>
    <col min="14" max="15" width="6.7265625" style="1" customWidth="1"/>
    <col min="16" max="18" width="4.26953125" style="1" customWidth="1"/>
    <col min="19" max="21" width="5.7265625" style="1" customWidth="1"/>
    <col min="22" max="22" width="7" style="1" customWidth="1"/>
    <col min="23" max="26" width="9.26953125" style="1"/>
    <col min="27" max="29" width="0" style="1" hidden="1" customWidth="1"/>
    <col min="30" max="30" width="0" style="86" hidden="1" customWidth="1"/>
    <col min="31" max="34" width="0" style="1" hidden="1" customWidth="1"/>
    <col min="35" max="16384" width="9.26953125" style="1"/>
  </cols>
  <sheetData>
    <row r="1" spans="1:32" ht="30.5" thickBot="1" x14ac:dyDescent="0.3">
      <c r="A1" s="144" t="s">
        <v>0</v>
      </c>
      <c r="B1" s="145"/>
      <c r="C1" s="146" t="s">
        <v>1</v>
      </c>
      <c r="D1" s="147"/>
      <c r="E1" s="148" t="s">
        <v>2</v>
      </c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23"/>
      <c r="AB1" s="83" t="s">
        <v>3</v>
      </c>
      <c r="AC1" s="83" t="s">
        <v>4</v>
      </c>
      <c r="AD1" s="84" t="s">
        <v>5</v>
      </c>
      <c r="AE1" s="83"/>
      <c r="AF1" s="83" t="s">
        <v>6</v>
      </c>
    </row>
    <row r="2" spans="1:32" ht="15.5" x14ac:dyDescent="0.25">
      <c r="A2" s="141" t="s">
        <v>7</v>
      </c>
      <c r="B2" s="142"/>
      <c r="C2" s="142"/>
      <c r="D2" s="142"/>
      <c r="E2" s="143"/>
      <c r="F2" s="141" t="s">
        <v>8</v>
      </c>
      <c r="G2" s="142"/>
      <c r="H2" s="143"/>
      <c r="I2" s="141" t="s">
        <v>9</v>
      </c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50"/>
      <c r="AB2" s="83" t="s">
        <v>10</v>
      </c>
      <c r="AC2" s="85" t="s">
        <v>11</v>
      </c>
      <c r="AD2" s="84" t="s">
        <v>12</v>
      </c>
      <c r="AE2" s="83"/>
      <c r="AF2" s="83" t="s">
        <v>13</v>
      </c>
    </row>
    <row r="3" spans="1:32" ht="16" thickBot="1" x14ac:dyDescent="0.3">
      <c r="A3" s="132" t="s">
        <v>179</v>
      </c>
      <c r="B3" s="133"/>
      <c r="C3" s="133"/>
      <c r="D3" s="133"/>
      <c r="E3" s="134"/>
      <c r="F3" s="135" t="s">
        <v>10</v>
      </c>
      <c r="G3" s="136"/>
      <c r="H3" s="137"/>
      <c r="I3" s="325" t="s">
        <v>180</v>
      </c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1"/>
      <c r="AB3" s="83" t="s">
        <v>14</v>
      </c>
      <c r="AC3" s="85" t="s">
        <v>15</v>
      </c>
      <c r="AD3" s="84" t="s">
        <v>16</v>
      </c>
      <c r="AE3" s="83"/>
      <c r="AF3" s="83" t="s">
        <v>17</v>
      </c>
    </row>
    <row r="4" spans="1:32" ht="15.5" x14ac:dyDescent="0.25">
      <c r="A4" s="141" t="s">
        <v>18</v>
      </c>
      <c r="B4" s="142"/>
      <c r="C4" s="142"/>
      <c r="D4" s="142"/>
      <c r="E4" s="143"/>
      <c r="F4" s="141" t="s">
        <v>19</v>
      </c>
      <c r="G4" s="142"/>
      <c r="H4" s="143"/>
      <c r="I4" s="81" t="s">
        <v>20</v>
      </c>
      <c r="J4" s="141" t="s">
        <v>21</v>
      </c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3"/>
      <c r="AB4" s="83" t="s">
        <v>22</v>
      </c>
      <c r="AC4" s="85" t="s">
        <v>23</v>
      </c>
      <c r="AD4" s="84"/>
      <c r="AE4" s="83"/>
      <c r="AF4" s="83" t="s">
        <v>24</v>
      </c>
    </row>
    <row r="5" spans="1:32" ht="16" thickBot="1" x14ac:dyDescent="0.3">
      <c r="A5" s="132" t="s">
        <v>181</v>
      </c>
      <c r="B5" s="133"/>
      <c r="C5" s="133"/>
      <c r="D5" s="133"/>
      <c r="E5" s="134"/>
      <c r="F5" s="132" t="s">
        <v>182</v>
      </c>
      <c r="G5" s="133"/>
      <c r="H5" s="134"/>
      <c r="I5" s="24" t="s">
        <v>183</v>
      </c>
      <c r="J5" s="151">
        <v>45384</v>
      </c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3"/>
      <c r="AB5" s="83" t="s">
        <v>27</v>
      </c>
      <c r="AC5" s="85" t="s">
        <v>12</v>
      </c>
      <c r="AD5" s="84"/>
      <c r="AE5" s="83"/>
      <c r="AF5" s="83" t="s">
        <v>28</v>
      </c>
    </row>
    <row r="6" spans="1:32" ht="23.5" thickBot="1" x14ac:dyDescent="0.3">
      <c r="A6" s="17" t="s">
        <v>29</v>
      </c>
      <c r="B6" s="2"/>
      <c r="C6" s="16"/>
      <c r="D6" s="16"/>
      <c r="E6" s="16"/>
      <c r="F6" s="16"/>
      <c r="G6" s="154" t="s">
        <v>184</v>
      </c>
      <c r="H6" s="154"/>
      <c r="I6" s="154"/>
      <c r="J6" s="154"/>
      <c r="K6" s="154"/>
      <c r="L6" s="154"/>
      <c r="M6" s="154"/>
      <c r="N6" s="154"/>
      <c r="O6" s="154"/>
      <c r="P6" s="25"/>
      <c r="Q6" s="25"/>
      <c r="R6" s="25"/>
      <c r="S6" s="25"/>
      <c r="T6" s="25"/>
      <c r="U6" s="26"/>
      <c r="AB6" s="83"/>
      <c r="AC6" s="83"/>
      <c r="AD6" s="84"/>
      <c r="AE6" s="83"/>
      <c r="AF6" s="83" t="s">
        <v>31</v>
      </c>
    </row>
    <row r="7" spans="1:32" ht="10.9" customHeight="1" thickBot="1" x14ac:dyDescent="0.3">
      <c r="A7" s="12"/>
      <c r="B7" s="2"/>
      <c r="C7" s="2"/>
      <c r="D7" s="2"/>
      <c r="E7" s="27"/>
      <c r="F7" s="27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14"/>
      <c r="AB7" s="83"/>
      <c r="AC7" s="83"/>
      <c r="AD7" s="84"/>
      <c r="AE7" s="83"/>
      <c r="AF7" s="83" t="s">
        <v>32</v>
      </c>
    </row>
    <row r="8" spans="1:32" ht="15.5" x14ac:dyDescent="0.25">
      <c r="A8" s="155" t="s">
        <v>33</v>
      </c>
      <c r="B8" s="158" t="s">
        <v>34</v>
      </c>
      <c r="C8" s="159"/>
      <c r="D8" s="160"/>
      <c r="E8" s="28"/>
      <c r="F8" s="161" t="s">
        <v>35</v>
      </c>
      <c r="G8" s="164" t="s">
        <v>36</v>
      </c>
      <c r="H8" s="165"/>
      <c r="I8" s="2"/>
      <c r="J8" s="166" t="s">
        <v>37</v>
      </c>
      <c r="K8" s="169" t="s">
        <v>38</v>
      </c>
      <c r="L8" s="170"/>
      <c r="M8" s="170"/>
      <c r="N8" s="171"/>
      <c r="O8" s="29"/>
      <c r="P8" s="30"/>
      <c r="Q8" s="30"/>
      <c r="R8" s="30"/>
      <c r="S8" s="30"/>
      <c r="T8" s="30"/>
      <c r="U8" s="31"/>
      <c r="AB8" s="83"/>
      <c r="AC8" s="83"/>
      <c r="AD8" s="84"/>
      <c r="AE8" s="83"/>
      <c r="AF8" s="83"/>
    </row>
    <row r="9" spans="1:32" ht="15.5" x14ac:dyDescent="0.25">
      <c r="A9" s="156"/>
      <c r="B9" s="175" t="s">
        <v>39</v>
      </c>
      <c r="C9" s="177"/>
      <c r="D9" s="176"/>
      <c r="E9" s="28"/>
      <c r="F9" s="162"/>
      <c r="G9" s="186" t="s">
        <v>40</v>
      </c>
      <c r="H9" s="187"/>
      <c r="I9" s="2"/>
      <c r="J9" s="167"/>
      <c r="K9" s="175" t="s">
        <v>41</v>
      </c>
      <c r="L9" s="177"/>
      <c r="M9" s="177"/>
      <c r="N9" s="176"/>
      <c r="O9" s="29"/>
      <c r="P9" s="30"/>
      <c r="Q9" s="30"/>
      <c r="R9" s="30"/>
      <c r="S9" s="30"/>
      <c r="T9" s="30"/>
      <c r="U9" s="31"/>
    </row>
    <row r="10" spans="1:32" ht="15.5" x14ac:dyDescent="0.25">
      <c r="A10" s="156"/>
      <c r="B10" s="175" t="s">
        <v>42</v>
      </c>
      <c r="C10" s="177"/>
      <c r="D10" s="176"/>
      <c r="E10" s="28"/>
      <c r="F10" s="162"/>
      <c r="G10" s="175" t="s">
        <v>43</v>
      </c>
      <c r="H10" s="176"/>
      <c r="I10" s="2"/>
      <c r="J10" s="167"/>
      <c r="K10" s="175" t="s">
        <v>44</v>
      </c>
      <c r="L10" s="177"/>
      <c r="M10" s="177"/>
      <c r="N10" s="176"/>
      <c r="O10" s="32"/>
      <c r="P10" s="28"/>
      <c r="Q10" s="28"/>
      <c r="R10" s="28"/>
      <c r="S10" s="28"/>
      <c r="T10" s="28"/>
      <c r="U10" s="33"/>
    </row>
    <row r="11" spans="1:32" ht="15.5" x14ac:dyDescent="0.25">
      <c r="A11" s="156"/>
      <c r="B11" s="172" t="s">
        <v>45</v>
      </c>
      <c r="C11" s="173"/>
      <c r="D11" s="174"/>
      <c r="E11" s="30"/>
      <c r="F11" s="162"/>
      <c r="G11" s="175" t="s">
        <v>46</v>
      </c>
      <c r="H11" s="176"/>
      <c r="I11" s="2"/>
      <c r="J11" s="167"/>
      <c r="K11" s="175" t="s">
        <v>47</v>
      </c>
      <c r="L11" s="177"/>
      <c r="M11" s="177"/>
      <c r="N11" s="176"/>
      <c r="O11" s="32"/>
      <c r="P11" s="28"/>
      <c r="Q11" s="28"/>
      <c r="R11" s="28"/>
      <c r="S11" s="28"/>
      <c r="T11" s="28"/>
      <c r="U11" s="33"/>
    </row>
    <row r="12" spans="1:32" ht="15.5" x14ac:dyDescent="0.25">
      <c r="A12" s="156"/>
      <c r="B12" s="175" t="s">
        <v>48</v>
      </c>
      <c r="C12" s="177"/>
      <c r="D12" s="176"/>
      <c r="E12" s="28"/>
      <c r="F12" s="162"/>
      <c r="G12" s="175" t="s">
        <v>49</v>
      </c>
      <c r="H12" s="176"/>
      <c r="I12" s="2"/>
      <c r="J12" s="167"/>
      <c r="K12" s="13"/>
      <c r="L12" s="13"/>
      <c r="M12" s="13"/>
      <c r="N12" s="13"/>
      <c r="O12" s="32"/>
      <c r="P12" s="28"/>
      <c r="Q12" s="28"/>
      <c r="R12" s="28"/>
      <c r="S12" s="28"/>
      <c r="T12" s="28"/>
      <c r="U12" s="33"/>
    </row>
    <row r="13" spans="1:32" ht="16" thickBot="1" x14ac:dyDescent="0.4">
      <c r="A13" s="157"/>
      <c r="B13" s="178" t="s">
        <v>50</v>
      </c>
      <c r="C13" s="179"/>
      <c r="D13" s="180"/>
      <c r="E13" s="34"/>
      <c r="F13" s="162"/>
      <c r="G13" s="181" t="s">
        <v>51</v>
      </c>
      <c r="H13" s="182"/>
      <c r="I13" s="2"/>
      <c r="J13" s="168"/>
      <c r="K13" s="183"/>
      <c r="L13" s="184"/>
      <c r="M13" s="184"/>
      <c r="N13" s="185"/>
      <c r="O13" s="32"/>
      <c r="P13" s="28"/>
      <c r="Q13" s="28"/>
      <c r="R13" s="28"/>
      <c r="S13" s="28"/>
      <c r="T13" s="28"/>
      <c r="U13" s="33"/>
    </row>
    <row r="14" spans="1:32" ht="15.5" x14ac:dyDescent="0.25">
      <c r="A14" s="188" t="s">
        <v>52</v>
      </c>
      <c r="B14" s="169" t="s">
        <v>53</v>
      </c>
      <c r="C14" s="170"/>
      <c r="D14" s="171"/>
      <c r="E14" s="35"/>
      <c r="F14" s="162"/>
      <c r="G14" s="186" t="s">
        <v>54</v>
      </c>
      <c r="H14" s="187"/>
      <c r="I14" s="2"/>
      <c r="J14" s="191" t="s">
        <v>55</v>
      </c>
      <c r="K14" s="175" t="s">
        <v>56</v>
      </c>
      <c r="L14" s="177"/>
      <c r="M14" s="177"/>
      <c r="N14" s="176"/>
      <c r="O14" s="32"/>
      <c r="P14" s="28"/>
      <c r="Q14" s="28"/>
      <c r="R14" s="28"/>
      <c r="S14" s="28"/>
      <c r="T14" s="28"/>
      <c r="U14" s="33"/>
    </row>
    <row r="15" spans="1:32" ht="15.5" x14ac:dyDescent="0.25">
      <c r="A15" s="189"/>
      <c r="B15" s="172" t="s">
        <v>57</v>
      </c>
      <c r="C15" s="173"/>
      <c r="D15" s="174"/>
      <c r="E15" s="36"/>
      <c r="F15" s="162"/>
      <c r="G15" s="186" t="s">
        <v>58</v>
      </c>
      <c r="H15" s="187"/>
      <c r="I15" s="2"/>
      <c r="J15" s="192"/>
      <c r="K15" s="175" t="s">
        <v>59</v>
      </c>
      <c r="L15" s="177"/>
      <c r="M15" s="177"/>
      <c r="N15" s="176"/>
      <c r="O15" s="32"/>
      <c r="P15" s="28"/>
      <c r="Q15" s="28"/>
      <c r="R15" s="28"/>
      <c r="S15" s="28"/>
      <c r="T15" s="28"/>
      <c r="U15" s="33"/>
    </row>
    <row r="16" spans="1:32" ht="16" thickBot="1" x14ac:dyDescent="0.3">
      <c r="A16" s="189"/>
      <c r="B16" s="175" t="s">
        <v>60</v>
      </c>
      <c r="C16" s="177"/>
      <c r="D16" s="176"/>
      <c r="E16" s="36"/>
      <c r="F16" s="163"/>
      <c r="G16" s="183" t="s">
        <v>61</v>
      </c>
      <c r="H16" s="185"/>
      <c r="I16" s="2"/>
      <c r="J16" s="192"/>
      <c r="K16" s="175" t="s">
        <v>62</v>
      </c>
      <c r="L16" s="177"/>
      <c r="M16" s="177"/>
      <c r="N16" s="176"/>
      <c r="O16" s="32"/>
      <c r="P16" s="28"/>
      <c r="Q16" s="28"/>
      <c r="R16" s="28"/>
      <c r="S16" s="28"/>
      <c r="T16" s="28"/>
      <c r="U16" s="33"/>
    </row>
    <row r="17" spans="1:22" ht="15.5" x14ac:dyDescent="0.25">
      <c r="A17" s="189"/>
      <c r="B17" s="175" t="s">
        <v>63</v>
      </c>
      <c r="C17" s="177"/>
      <c r="D17" s="176"/>
      <c r="E17" s="28"/>
      <c r="F17" s="200" t="s">
        <v>64</v>
      </c>
      <c r="G17" s="158" t="s">
        <v>65</v>
      </c>
      <c r="H17" s="160"/>
      <c r="I17" s="2"/>
      <c r="J17" s="192"/>
      <c r="K17" s="194"/>
      <c r="L17" s="195"/>
      <c r="M17" s="195"/>
      <c r="N17" s="196"/>
      <c r="O17" s="32"/>
      <c r="P17" s="28"/>
      <c r="Q17" s="28"/>
      <c r="R17" s="28"/>
      <c r="S17" s="28"/>
      <c r="T17" s="28"/>
      <c r="U17" s="33"/>
    </row>
    <row r="18" spans="1:22" ht="15.5" x14ac:dyDescent="0.25">
      <c r="A18" s="189"/>
      <c r="B18" s="175" t="s">
        <v>66</v>
      </c>
      <c r="C18" s="177"/>
      <c r="D18" s="176"/>
      <c r="E18" s="28"/>
      <c r="F18" s="201"/>
      <c r="G18" s="181" t="s">
        <v>67</v>
      </c>
      <c r="H18" s="182"/>
      <c r="I18" s="2"/>
      <c r="J18" s="192"/>
      <c r="K18" s="194"/>
      <c r="L18" s="195"/>
      <c r="M18" s="195"/>
      <c r="N18" s="196"/>
      <c r="O18" s="32"/>
      <c r="P18" s="28"/>
      <c r="Q18" s="28"/>
      <c r="R18" s="28"/>
      <c r="S18" s="28"/>
      <c r="T18" s="28"/>
      <c r="U18" s="33"/>
    </row>
    <row r="19" spans="1:22" ht="15.5" x14ac:dyDescent="0.25">
      <c r="A19" s="189"/>
      <c r="B19" s="175" t="s">
        <v>68</v>
      </c>
      <c r="C19" s="177"/>
      <c r="D19" s="176"/>
      <c r="E19" s="28"/>
      <c r="F19" s="201"/>
      <c r="G19" s="181" t="s">
        <v>69</v>
      </c>
      <c r="H19" s="182"/>
      <c r="I19" s="2"/>
      <c r="J19" s="192"/>
      <c r="K19" s="194"/>
      <c r="L19" s="195"/>
      <c r="M19" s="195"/>
      <c r="N19" s="196"/>
      <c r="O19" s="32"/>
      <c r="P19" s="28"/>
      <c r="Q19" s="28"/>
      <c r="R19" s="28"/>
      <c r="S19" s="28"/>
      <c r="T19" s="28"/>
      <c r="U19" s="33"/>
    </row>
    <row r="20" spans="1:22" ht="15.5" x14ac:dyDescent="0.25">
      <c r="A20" s="189"/>
      <c r="B20" s="172" t="s">
        <v>70</v>
      </c>
      <c r="C20" s="173"/>
      <c r="D20" s="174"/>
      <c r="E20" s="28"/>
      <c r="F20" s="201"/>
      <c r="G20" s="181" t="s">
        <v>71</v>
      </c>
      <c r="H20" s="182"/>
      <c r="I20" s="2"/>
      <c r="J20" s="192"/>
      <c r="K20" s="194"/>
      <c r="L20" s="195"/>
      <c r="M20" s="195"/>
      <c r="N20" s="196"/>
      <c r="O20" s="32"/>
      <c r="P20" s="28"/>
      <c r="Q20" s="28"/>
      <c r="R20" s="28"/>
      <c r="S20" s="28"/>
      <c r="T20" s="28"/>
      <c r="U20" s="33"/>
    </row>
    <row r="21" spans="1:22" ht="16" thickBot="1" x14ac:dyDescent="0.4">
      <c r="A21" s="189"/>
      <c r="B21" s="175" t="s">
        <v>72</v>
      </c>
      <c r="C21" s="177"/>
      <c r="D21" s="176"/>
      <c r="E21" s="28"/>
      <c r="F21" s="201"/>
      <c r="G21" s="181" t="s">
        <v>73</v>
      </c>
      <c r="H21" s="182"/>
      <c r="I21" s="2"/>
      <c r="J21" s="193"/>
      <c r="K21" s="197"/>
      <c r="L21" s="198"/>
      <c r="M21" s="198"/>
      <c r="N21" s="199"/>
      <c r="O21" s="32"/>
      <c r="P21" s="28"/>
      <c r="Q21" s="28"/>
      <c r="R21" s="28"/>
      <c r="S21" s="28"/>
      <c r="T21" s="28"/>
      <c r="U21" s="33"/>
    </row>
    <row r="22" spans="1:22" ht="15.5" x14ac:dyDescent="0.25">
      <c r="A22" s="189"/>
      <c r="B22" s="175" t="s">
        <v>74</v>
      </c>
      <c r="C22" s="177"/>
      <c r="D22" s="176"/>
      <c r="E22" s="28"/>
      <c r="F22" s="201"/>
      <c r="G22" s="181" t="s">
        <v>75</v>
      </c>
      <c r="H22" s="182"/>
      <c r="I22" s="2"/>
      <c r="J22" s="203" t="s">
        <v>6</v>
      </c>
      <c r="K22" s="175" t="s">
        <v>76</v>
      </c>
      <c r="L22" s="177"/>
      <c r="M22" s="177"/>
      <c r="N22" s="176"/>
      <c r="O22" s="32"/>
      <c r="P22" s="28"/>
      <c r="Q22" s="28"/>
      <c r="R22" s="28"/>
      <c r="S22" s="28"/>
      <c r="T22" s="28"/>
      <c r="U22" s="33"/>
    </row>
    <row r="23" spans="1:22" ht="15.5" x14ac:dyDescent="0.25">
      <c r="A23" s="189"/>
      <c r="B23" s="175" t="s">
        <v>77</v>
      </c>
      <c r="C23" s="177"/>
      <c r="D23" s="176"/>
      <c r="E23" s="28"/>
      <c r="F23" s="201"/>
      <c r="G23" s="181"/>
      <c r="H23" s="182"/>
      <c r="I23" s="2"/>
      <c r="J23" s="204"/>
      <c r="K23" s="175" t="s">
        <v>78</v>
      </c>
      <c r="L23" s="177"/>
      <c r="M23" s="177"/>
      <c r="N23" s="176"/>
      <c r="O23" s="32"/>
      <c r="P23" s="28"/>
      <c r="Q23" s="28"/>
      <c r="R23" s="28"/>
      <c r="S23" s="28"/>
      <c r="T23" s="28"/>
      <c r="U23" s="33"/>
    </row>
    <row r="24" spans="1:22" ht="15.5" x14ac:dyDescent="0.25">
      <c r="A24" s="189"/>
      <c r="B24" s="172" t="s">
        <v>79</v>
      </c>
      <c r="C24" s="173"/>
      <c r="D24" s="174"/>
      <c r="E24" s="28"/>
      <c r="F24" s="201"/>
      <c r="G24" s="181"/>
      <c r="H24" s="182"/>
      <c r="I24" s="2"/>
      <c r="J24" s="204"/>
      <c r="K24" s="175" t="s">
        <v>80</v>
      </c>
      <c r="L24" s="177"/>
      <c r="M24" s="177"/>
      <c r="N24" s="176"/>
      <c r="O24" s="32"/>
      <c r="P24" s="28"/>
      <c r="Q24" s="28"/>
      <c r="R24" s="28"/>
      <c r="S24" s="28"/>
      <c r="T24" s="28"/>
      <c r="U24" s="33"/>
    </row>
    <row r="25" spans="1:22" ht="15.5" x14ac:dyDescent="0.25">
      <c r="A25" s="189"/>
      <c r="B25" s="172" t="s">
        <v>81</v>
      </c>
      <c r="C25" s="173"/>
      <c r="D25" s="174"/>
      <c r="E25" s="28"/>
      <c r="F25" s="201"/>
      <c r="G25" s="181"/>
      <c r="H25" s="182"/>
      <c r="I25" s="2"/>
      <c r="J25" s="204"/>
      <c r="K25" s="175"/>
      <c r="L25" s="177"/>
      <c r="M25" s="177"/>
      <c r="N25" s="176"/>
      <c r="O25" s="32"/>
      <c r="P25" s="28"/>
      <c r="Q25" s="28"/>
      <c r="R25" s="28"/>
      <c r="S25" s="28"/>
      <c r="T25" s="28"/>
      <c r="U25" s="33"/>
    </row>
    <row r="26" spans="1:22" ht="16" thickBot="1" x14ac:dyDescent="0.4">
      <c r="A26" s="190"/>
      <c r="B26" s="222" t="s">
        <v>82</v>
      </c>
      <c r="C26" s="223"/>
      <c r="D26" s="224"/>
      <c r="E26" s="36"/>
      <c r="F26" s="202"/>
      <c r="G26" s="183"/>
      <c r="H26" s="185"/>
      <c r="I26" s="2"/>
      <c r="J26" s="205"/>
      <c r="K26" s="197"/>
      <c r="L26" s="198"/>
      <c r="M26" s="198"/>
      <c r="N26" s="199"/>
      <c r="O26" s="37"/>
      <c r="P26" s="38"/>
      <c r="Q26" s="38"/>
      <c r="R26" s="38"/>
      <c r="S26" s="38"/>
      <c r="T26" s="38"/>
      <c r="U26" s="39"/>
    </row>
    <row r="27" spans="1:22" ht="13.5" thickBot="1" x14ac:dyDescent="0.35">
      <c r="A27" s="12"/>
      <c r="B27" s="40"/>
      <c r="C27" s="40"/>
      <c r="D27" s="40"/>
      <c r="E27" s="2"/>
      <c r="F27" s="41"/>
      <c r="G27" s="41"/>
      <c r="H27" s="41"/>
      <c r="I27" s="2"/>
      <c r="J27" s="41"/>
      <c r="K27" s="41"/>
      <c r="L27" s="41"/>
      <c r="M27" s="41"/>
      <c r="N27" s="41"/>
      <c r="O27" s="2"/>
      <c r="P27" s="2"/>
      <c r="Q27" s="2"/>
      <c r="R27" s="2"/>
      <c r="S27" s="2"/>
      <c r="T27" s="2"/>
      <c r="U27" s="42"/>
      <c r="V27" s="43"/>
    </row>
    <row r="28" spans="1:22" ht="63" customHeight="1" thickBot="1" x14ac:dyDescent="0.3">
      <c r="A28" s="21" t="s">
        <v>6</v>
      </c>
      <c r="B28" s="22" t="s">
        <v>83</v>
      </c>
      <c r="C28" s="206" t="s">
        <v>84</v>
      </c>
      <c r="D28" s="207"/>
      <c r="E28" s="207"/>
      <c r="F28" s="207"/>
      <c r="G28" s="208"/>
      <c r="H28" s="22" t="s">
        <v>85</v>
      </c>
      <c r="I28" s="206" t="s">
        <v>86</v>
      </c>
      <c r="J28" s="207"/>
      <c r="K28" s="207"/>
      <c r="L28" s="208"/>
      <c r="M28" s="20" t="s">
        <v>87</v>
      </c>
      <c r="N28" s="209" t="s">
        <v>88</v>
      </c>
      <c r="O28" s="210"/>
      <c r="P28" s="206" t="s">
        <v>89</v>
      </c>
      <c r="Q28" s="207"/>
      <c r="R28" s="208"/>
      <c r="S28" s="213" t="s">
        <v>90</v>
      </c>
      <c r="T28" s="214"/>
      <c r="U28" s="215"/>
    </row>
    <row r="29" spans="1:22" ht="16" thickBot="1" x14ac:dyDescent="0.3">
      <c r="A29" s="44"/>
      <c r="B29" s="45"/>
      <c r="C29" s="46"/>
      <c r="D29" s="47"/>
      <c r="E29" s="47"/>
      <c r="F29" s="47"/>
      <c r="G29" s="48"/>
      <c r="H29" s="45"/>
      <c r="I29" s="46"/>
      <c r="J29" s="47"/>
      <c r="K29" s="47"/>
      <c r="L29" s="48"/>
      <c r="M29" s="46"/>
      <c r="N29" s="211"/>
      <c r="O29" s="212"/>
      <c r="P29" s="20">
        <v>1</v>
      </c>
      <c r="Q29" s="20">
        <v>2</v>
      </c>
      <c r="R29" s="20">
        <v>3</v>
      </c>
      <c r="S29" s="49">
        <v>1</v>
      </c>
      <c r="T29" s="49">
        <v>2</v>
      </c>
      <c r="U29" s="49">
        <v>3</v>
      </c>
    </row>
    <row r="30" spans="1:22" ht="30" customHeight="1" thickBot="1" x14ac:dyDescent="0.3">
      <c r="A30" s="9" t="s">
        <v>17</v>
      </c>
      <c r="B30" s="11">
        <v>1</v>
      </c>
      <c r="C30" s="225" t="s">
        <v>185</v>
      </c>
      <c r="D30" s="226"/>
      <c r="E30" s="226"/>
      <c r="F30" s="226"/>
      <c r="G30" s="227"/>
      <c r="H30" s="57"/>
      <c r="I30" s="228" t="s">
        <v>186</v>
      </c>
      <c r="J30" s="229"/>
      <c r="K30" s="229"/>
      <c r="L30" s="230"/>
      <c r="M30" s="51">
        <v>5</v>
      </c>
      <c r="N30" s="52">
        <v>1</v>
      </c>
      <c r="O30" s="53" t="s">
        <v>15</v>
      </c>
      <c r="P30" s="53" t="s">
        <v>16</v>
      </c>
      <c r="Q30" s="53" t="s">
        <v>16</v>
      </c>
      <c r="R30" s="53" t="s">
        <v>12</v>
      </c>
      <c r="S30" s="54">
        <f t="shared" ref="S30:S59" si="0">IF(P30="Y",IF(O30="D",M30*N30,IF(O30="W",M30*(N30/5),IF(O30="M",M30*(N30/22),IF(O30="Y",M30*(N30/(22*12)), "")))),0)</f>
        <v>0</v>
      </c>
      <c r="T30" s="54">
        <f t="shared" ref="T30:T59" si="1">IF(Q30="Y",IF(O30="D",M30*N30,IF(O30="W",M30*(N30/5),IF(O30="M",M30*(N30/22),IF(O30="Y",M30*(N30/(22*12)), "")))),0)</f>
        <v>0</v>
      </c>
      <c r="U30" s="54">
        <f t="shared" ref="U30:U59" si="2">IF(R30="Y",IF(O30="D",M30*N30,IF(O30="W",M30*(N30/5),IF(O30="M",M30*(N30/22),IF(O30="Y",M30*(N30/(22*12)), "")))),0)</f>
        <v>1</v>
      </c>
    </row>
    <row r="31" spans="1:22" ht="30" customHeight="1" thickBot="1" x14ac:dyDescent="0.3">
      <c r="A31" s="82" t="s">
        <v>28</v>
      </c>
      <c r="B31" s="7">
        <v>2</v>
      </c>
      <c r="C31" s="225" t="s">
        <v>187</v>
      </c>
      <c r="D31" s="226"/>
      <c r="E31" s="226"/>
      <c r="F31" s="226"/>
      <c r="G31" s="227"/>
      <c r="H31" s="50" t="s">
        <v>188</v>
      </c>
      <c r="I31" s="228" t="s">
        <v>30</v>
      </c>
      <c r="J31" s="229"/>
      <c r="K31" s="229"/>
      <c r="L31" s="230"/>
      <c r="M31" s="51">
        <v>15</v>
      </c>
      <c r="N31" s="52">
        <v>1</v>
      </c>
      <c r="O31" s="53" t="s">
        <v>11</v>
      </c>
      <c r="P31" s="53" t="s">
        <v>12</v>
      </c>
      <c r="Q31" s="53" t="s">
        <v>12</v>
      </c>
      <c r="R31" s="53" t="s">
        <v>12</v>
      </c>
      <c r="S31" s="54">
        <f t="shared" si="0"/>
        <v>15</v>
      </c>
      <c r="T31" s="54">
        <f t="shared" si="1"/>
        <v>15</v>
      </c>
      <c r="U31" s="54">
        <f t="shared" si="2"/>
        <v>15</v>
      </c>
    </row>
    <row r="32" spans="1:22" ht="30" customHeight="1" thickBot="1" x14ac:dyDescent="0.3">
      <c r="A32" s="9" t="s">
        <v>17</v>
      </c>
      <c r="B32" s="7">
        <v>3</v>
      </c>
      <c r="C32" s="225" t="s">
        <v>189</v>
      </c>
      <c r="D32" s="226"/>
      <c r="E32" s="226"/>
      <c r="F32" s="226"/>
      <c r="G32" s="227"/>
      <c r="H32" s="57" t="s">
        <v>30</v>
      </c>
      <c r="I32" s="228" t="s">
        <v>190</v>
      </c>
      <c r="J32" s="229"/>
      <c r="K32" s="229"/>
      <c r="L32" s="230"/>
      <c r="M32" s="51">
        <v>5</v>
      </c>
      <c r="N32" s="52">
        <v>1</v>
      </c>
      <c r="O32" s="53" t="s">
        <v>15</v>
      </c>
      <c r="P32" s="53" t="s">
        <v>16</v>
      </c>
      <c r="Q32" s="53" t="s">
        <v>12</v>
      </c>
      <c r="R32" s="53" t="s">
        <v>16</v>
      </c>
      <c r="S32" s="54">
        <f t="shared" si="0"/>
        <v>0</v>
      </c>
      <c r="T32" s="54">
        <f t="shared" si="1"/>
        <v>1</v>
      </c>
      <c r="U32" s="54">
        <f t="shared" si="2"/>
        <v>0</v>
      </c>
    </row>
    <row r="33" spans="1:21" ht="30" customHeight="1" thickBot="1" x14ac:dyDescent="0.3">
      <c r="A33" s="8" t="s">
        <v>28</v>
      </c>
      <c r="B33" s="7">
        <v>4</v>
      </c>
      <c r="C33" s="225" t="s">
        <v>191</v>
      </c>
      <c r="D33" s="226"/>
      <c r="E33" s="226"/>
      <c r="F33" s="226"/>
      <c r="G33" s="227"/>
      <c r="H33" s="57" t="s">
        <v>30</v>
      </c>
      <c r="I33" s="228" t="s">
        <v>192</v>
      </c>
      <c r="J33" s="229"/>
      <c r="K33" s="229"/>
      <c r="L33" s="230"/>
      <c r="M33" s="51">
        <v>45</v>
      </c>
      <c r="N33" s="52">
        <v>1</v>
      </c>
      <c r="O33" s="53" t="s">
        <v>15</v>
      </c>
      <c r="P33" s="53" t="s">
        <v>12</v>
      </c>
      <c r="Q33" s="53" t="s">
        <v>16</v>
      </c>
      <c r="R33" s="53" t="s">
        <v>16</v>
      </c>
      <c r="S33" s="54">
        <f t="shared" si="0"/>
        <v>9</v>
      </c>
      <c r="T33" s="54">
        <f t="shared" si="1"/>
        <v>0</v>
      </c>
      <c r="U33" s="54">
        <f t="shared" si="2"/>
        <v>0</v>
      </c>
    </row>
    <row r="34" spans="1:21" ht="30" customHeight="1" thickBot="1" x14ac:dyDescent="0.3">
      <c r="A34" s="8" t="s">
        <v>28</v>
      </c>
      <c r="B34" s="7">
        <v>5</v>
      </c>
      <c r="C34" s="225" t="s">
        <v>193</v>
      </c>
      <c r="D34" s="226"/>
      <c r="E34" s="226"/>
      <c r="F34" s="226"/>
      <c r="G34" s="227"/>
      <c r="H34" s="57" t="s">
        <v>30</v>
      </c>
      <c r="I34" s="228" t="s">
        <v>194</v>
      </c>
      <c r="J34" s="229"/>
      <c r="K34" s="229"/>
      <c r="L34" s="230"/>
      <c r="M34" s="51">
        <v>20</v>
      </c>
      <c r="N34" s="52">
        <v>1</v>
      </c>
      <c r="O34" s="53" t="s">
        <v>11</v>
      </c>
      <c r="P34" s="53" t="s">
        <v>12</v>
      </c>
      <c r="Q34" s="53" t="s">
        <v>12</v>
      </c>
      <c r="R34" s="53" t="s">
        <v>12</v>
      </c>
      <c r="S34" s="54">
        <f t="shared" si="0"/>
        <v>20</v>
      </c>
      <c r="T34" s="54">
        <f t="shared" si="1"/>
        <v>20</v>
      </c>
      <c r="U34" s="54">
        <f t="shared" si="2"/>
        <v>20</v>
      </c>
    </row>
    <row r="35" spans="1:21" ht="30" customHeight="1" thickBot="1" x14ac:dyDescent="0.3">
      <c r="A35" s="10" t="s">
        <v>13</v>
      </c>
      <c r="B35" s="7">
        <v>6</v>
      </c>
      <c r="C35" s="225" t="s">
        <v>195</v>
      </c>
      <c r="D35" s="226"/>
      <c r="E35" s="226"/>
      <c r="F35" s="226"/>
      <c r="G35" s="227"/>
      <c r="H35" s="57" t="s">
        <v>30</v>
      </c>
      <c r="I35" s="228" t="s">
        <v>196</v>
      </c>
      <c r="J35" s="229"/>
      <c r="K35" s="229"/>
      <c r="L35" s="230"/>
      <c r="M35" s="51">
        <v>5</v>
      </c>
      <c r="N35" s="52">
        <v>3</v>
      </c>
      <c r="O35" s="53" t="s">
        <v>11</v>
      </c>
      <c r="P35" s="58" t="s">
        <v>12</v>
      </c>
      <c r="Q35" s="58" t="s">
        <v>12</v>
      </c>
      <c r="R35" s="58" t="s">
        <v>12</v>
      </c>
      <c r="S35" s="54">
        <f t="shared" si="0"/>
        <v>15</v>
      </c>
      <c r="T35" s="54">
        <f t="shared" si="1"/>
        <v>15</v>
      </c>
      <c r="U35" s="54">
        <f t="shared" si="2"/>
        <v>15</v>
      </c>
    </row>
    <row r="36" spans="1:21" ht="30" customHeight="1" thickBot="1" x14ac:dyDescent="0.3">
      <c r="A36" s="55" t="s">
        <v>13</v>
      </c>
      <c r="B36" s="7">
        <v>7</v>
      </c>
      <c r="C36" s="225"/>
      <c r="D36" s="226"/>
      <c r="E36" s="226"/>
      <c r="F36" s="226"/>
      <c r="G36" s="227"/>
      <c r="H36" s="57"/>
      <c r="I36" s="228"/>
      <c r="J36" s="229"/>
      <c r="K36" s="229"/>
      <c r="L36" s="230"/>
      <c r="M36" s="51"/>
      <c r="N36" s="52"/>
      <c r="O36" s="53"/>
      <c r="P36" s="53"/>
      <c r="Q36" s="53"/>
      <c r="R36" s="53"/>
      <c r="S36" s="54">
        <f t="shared" si="0"/>
        <v>0</v>
      </c>
      <c r="T36" s="54">
        <f t="shared" si="1"/>
        <v>0</v>
      </c>
      <c r="U36" s="54">
        <f t="shared" si="2"/>
        <v>0</v>
      </c>
    </row>
    <row r="37" spans="1:21" ht="30" customHeight="1" thickBot="1" x14ac:dyDescent="0.3">
      <c r="A37" s="55" t="s">
        <v>13</v>
      </c>
      <c r="B37" s="7">
        <v>8</v>
      </c>
      <c r="C37" s="225"/>
      <c r="D37" s="226"/>
      <c r="E37" s="226"/>
      <c r="F37" s="226"/>
      <c r="G37" s="227"/>
      <c r="H37" s="56"/>
      <c r="I37" s="228"/>
      <c r="J37" s="229"/>
      <c r="K37" s="229"/>
      <c r="L37" s="230"/>
      <c r="M37" s="59"/>
      <c r="N37" s="60"/>
      <c r="O37" s="61"/>
      <c r="P37" s="61"/>
      <c r="Q37" s="61"/>
      <c r="R37" s="61"/>
      <c r="S37" s="54">
        <f t="shared" si="0"/>
        <v>0</v>
      </c>
      <c r="T37" s="54">
        <f t="shared" si="1"/>
        <v>0</v>
      </c>
      <c r="U37" s="54">
        <f t="shared" si="2"/>
        <v>0</v>
      </c>
    </row>
    <row r="38" spans="1:21" ht="30" customHeight="1" thickBot="1" x14ac:dyDescent="0.3">
      <c r="A38" s="55" t="s">
        <v>17</v>
      </c>
      <c r="B38" s="7">
        <v>9</v>
      </c>
      <c r="C38" s="225"/>
      <c r="D38" s="226"/>
      <c r="E38" s="226"/>
      <c r="F38" s="226"/>
      <c r="G38" s="227"/>
      <c r="H38" s="87"/>
      <c r="I38" s="228"/>
      <c r="J38" s="229"/>
      <c r="K38" s="229"/>
      <c r="L38" s="230"/>
      <c r="M38" s="62"/>
      <c r="N38" s="63"/>
      <c r="O38" s="64"/>
      <c r="P38" s="64"/>
      <c r="Q38" s="64"/>
      <c r="R38" s="64"/>
      <c r="S38" s="54">
        <f t="shared" si="0"/>
        <v>0</v>
      </c>
      <c r="T38" s="54">
        <f t="shared" si="1"/>
        <v>0</v>
      </c>
      <c r="U38" s="54">
        <f t="shared" si="2"/>
        <v>0</v>
      </c>
    </row>
    <row r="39" spans="1:21" ht="30" customHeight="1" thickBot="1" x14ac:dyDescent="0.3">
      <c r="A39" s="55" t="s">
        <v>17</v>
      </c>
      <c r="B39" s="7">
        <v>10</v>
      </c>
      <c r="C39" s="225"/>
      <c r="D39" s="226"/>
      <c r="E39" s="226"/>
      <c r="F39" s="226"/>
      <c r="G39" s="227"/>
      <c r="H39" s="57"/>
      <c r="I39" s="228"/>
      <c r="J39" s="229"/>
      <c r="K39" s="229"/>
      <c r="L39" s="229"/>
      <c r="M39" s="65"/>
      <c r="N39" s="66"/>
      <c r="O39" s="67"/>
      <c r="P39" s="68"/>
      <c r="Q39" s="64"/>
      <c r="R39" s="64"/>
      <c r="S39" s="69">
        <f t="shared" si="0"/>
        <v>0</v>
      </c>
      <c r="T39" s="54">
        <f t="shared" si="1"/>
        <v>0</v>
      </c>
      <c r="U39" s="54">
        <f t="shared" si="2"/>
        <v>0</v>
      </c>
    </row>
    <row r="40" spans="1:21" ht="30" customHeight="1" thickBot="1" x14ac:dyDescent="0.3">
      <c r="A40" s="55" t="s">
        <v>17</v>
      </c>
      <c r="B40" s="7">
        <v>11</v>
      </c>
      <c r="C40" s="240"/>
      <c r="D40" s="241"/>
      <c r="E40" s="241"/>
      <c r="F40" s="241"/>
      <c r="G40" s="242"/>
      <c r="H40" s="57"/>
      <c r="I40" s="243"/>
      <c r="J40" s="244"/>
      <c r="K40" s="244"/>
      <c r="L40" s="245"/>
      <c r="M40" s="65"/>
      <c r="N40" s="52"/>
      <c r="O40" s="53"/>
      <c r="P40" s="68"/>
      <c r="Q40" s="64"/>
      <c r="R40" s="64"/>
      <c r="S40" s="69">
        <f t="shared" si="0"/>
        <v>0</v>
      </c>
      <c r="T40" s="54">
        <f t="shared" si="1"/>
        <v>0</v>
      </c>
      <c r="U40" s="54">
        <f t="shared" si="2"/>
        <v>0</v>
      </c>
    </row>
    <row r="41" spans="1:21" ht="30" customHeight="1" thickBot="1" x14ac:dyDescent="0.3">
      <c r="A41" s="55" t="s">
        <v>17</v>
      </c>
      <c r="B41" s="7">
        <v>12</v>
      </c>
      <c r="C41" s="240"/>
      <c r="D41" s="241"/>
      <c r="E41" s="241"/>
      <c r="F41" s="241"/>
      <c r="G41" s="242"/>
      <c r="H41" s="88"/>
      <c r="I41" s="243"/>
      <c r="J41" s="244"/>
      <c r="K41" s="244"/>
      <c r="L41" s="245"/>
      <c r="M41" s="65"/>
      <c r="N41" s="52"/>
      <c r="O41" s="53"/>
      <c r="P41" s="68"/>
      <c r="Q41" s="64"/>
      <c r="R41" s="64"/>
      <c r="S41" s="69">
        <f t="shared" si="0"/>
        <v>0</v>
      </c>
      <c r="T41" s="54">
        <f t="shared" si="1"/>
        <v>0</v>
      </c>
      <c r="U41" s="54">
        <f t="shared" si="2"/>
        <v>0</v>
      </c>
    </row>
    <row r="42" spans="1:21" ht="30" customHeight="1" thickBot="1" x14ac:dyDescent="0.3">
      <c r="A42" s="55" t="s">
        <v>17</v>
      </c>
      <c r="B42" s="7">
        <v>13</v>
      </c>
      <c r="C42" s="240"/>
      <c r="D42" s="241"/>
      <c r="E42" s="241"/>
      <c r="F42" s="241"/>
      <c r="G42" s="242"/>
      <c r="H42" s="89"/>
      <c r="I42" s="243"/>
      <c r="J42" s="244"/>
      <c r="K42" s="244"/>
      <c r="L42" s="245"/>
      <c r="M42" s="65"/>
      <c r="N42" s="52"/>
      <c r="O42" s="53"/>
      <c r="P42" s="68"/>
      <c r="Q42" s="64"/>
      <c r="R42" s="64"/>
      <c r="S42" s="69">
        <f t="shared" si="0"/>
        <v>0</v>
      </c>
      <c r="T42" s="54">
        <f t="shared" si="1"/>
        <v>0</v>
      </c>
      <c r="U42" s="54">
        <f t="shared" si="2"/>
        <v>0</v>
      </c>
    </row>
    <row r="43" spans="1:21" ht="30" customHeight="1" thickBot="1" x14ac:dyDescent="0.3">
      <c r="A43" s="55" t="s">
        <v>17</v>
      </c>
      <c r="B43" s="7">
        <v>14</v>
      </c>
      <c r="C43" s="240"/>
      <c r="D43" s="241"/>
      <c r="E43" s="241"/>
      <c r="F43" s="241"/>
      <c r="G43" s="242"/>
      <c r="H43" s="56"/>
      <c r="I43" s="243"/>
      <c r="J43" s="244"/>
      <c r="K43" s="244"/>
      <c r="L43" s="245"/>
      <c r="M43" s="65"/>
      <c r="N43" s="52"/>
      <c r="O43" s="53"/>
      <c r="P43" s="68"/>
      <c r="Q43" s="64"/>
      <c r="R43" s="64"/>
      <c r="S43" s="69">
        <f t="shared" si="0"/>
        <v>0</v>
      </c>
      <c r="T43" s="54">
        <f t="shared" si="1"/>
        <v>0</v>
      </c>
      <c r="U43" s="54">
        <f t="shared" si="2"/>
        <v>0</v>
      </c>
    </row>
    <row r="44" spans="1:21" ht="30" customHeight="1" thickBot="1" x14ac:dyDescent="0.3">
      <c r="A44" s="55" t="s">
        <v>17</v>
      </c>
      <c r="B44" s="7">
        <v>15</v>
      </c>
      <c r="C44" s="240"/>
      <c r="D44" s="241"/>
      <c r="E44" s="241"/>
      <c r="F44" s="241"/>
      <c r="G44" s="242"/>
      <c r="H44" s="88"/>
      <c r="I44" s="243"/>
      <c r="J44" s="244"/>
      <c r="K44" s="244"/>
      <c r="L44" s="245"/>
      <c r="M44" s="65"/>
      <c r="N44" s="52"/>
      <c r="O44" s="53"/>
      <c r="P44" s="68"/>
      <c r="Q44" s="64"/>
      <c r="R44" s="64"/>
      <c r="S44" s="69">
        <f t="shared" si="0"/>
        <v>0</v>
      </c>
      <c r="T44" s="54">
        <f t="shared" si="1"/>
        <v>0</v>
      </c>
      <c r="U44" s="54">
        <f t="shared" si="2"/>
        <v>0</v>
      </c>
    </row>
    <row r="45" spans="1:21" ht="30" customHeight="1" thickBot="1" x14ac:dyDescent="0.3">
      <c r="A45" s="55" t="s">
        <v>17</v>
      </c>
      <c r="B45" s="7">
        <v>16</v>
      </c>
      <c r="C45" s="240"/>
      <c r="D45" s="241"/>
      <c r="E45" s="241"/>
      <c r="F45" s="241"/>
      <c r="G45" s="242"/>
      <c r="H45" s="87"/>
      <c r="I45" s="243"/>
      <c r="J45" s="244"/>
      <c r="K45" s="244"/>
      <c r="L45" s="245"/>
      <c r="M45" s="65"/>
      <c r="N45" s="52"/>
      <c r="O45" s="53"/>
      <c r="P45" s="68"/>
      <c r="Q45" s="64"/>
      <c r="R45" s="64"/>
      <c r="S45" s="69">
        <f t="shared" si="0"/>
        <v>0</v>
      </c>
      <c r="T45" s="54">
        <f t="shared" si="1"/>
        <v>0</v>
      </c>
      <c r="U45" s="54">
        <f t="shared" si="2"/>
        <v>0</v>
      </c>
    </row>
    <row r="46" spans="1:21" ht="30" customHeight="1" thickBot="1" x14ac:dyDescent="0.3">
      <c r="A46" s="55" t="s">
        <v>17</v>
      </c>
      <c r="B46" s="7">
        <v>17</v>
      </c>
      <c r="C46" s="225"/>
      <c r="D46" s="226"/>
      <c r="E46" s="226"/>
      <c r="F46" s="226"/>
      <c r="G46" s="227"/>
      <c r="H46" s="57"/>
      <c r="I46" s="228"/>
      <c r="J46" s="229"/>
      <c r="K46" s="229"/>
      <c r="L46" s="230"/>
      <c r="M46" s="70"/>
      <c r="N46" s="71"/>
      <c r="O46" s="72"/>
      <c r="P46" s="68"/>
      <c r="Q46" s="64"/>
      <c r="R46" s="64"/>
      <c r="S46" s="54">
        <f t="shared" si="0"/>
        <v>0</v>
      </c>
      <c r="T46" s="54">
        <f t="shared" si="1"/>
        <v>0</v>
      </c>
      <c r="U46" s="54">
        <f t="shared" si="2"/>
        <v>0</v>
      </c>
    </row>
    <row r="47" spans="1:21" ht="30" customHeight="1" thickBot="1" x14ac:dyDescent="0.3">
      <c r="A47" s="55" t="s">
        <v>17</v>
      </c>
      <c r="B47" s="7">
        <v>18</v>
      </c>
      <c r="C47" s="225"/>
      <c r="D47" s="226"/>
      <c r="E47" s="226"/>
      <c r="F47" s="226"/>
      <c r="G47" s="227"/>
      <c r="H47" s="57"/>
      <c r="I47" s="228"/>
      <c r="J47" s="229"/>
      <c r="K47" s="229"/>
      <c r="L47" s="230"/>
      <c r="M47" s="59"/>
      <c r="N47" s="60"/>
      <c r="O47" s="61"/>
      <c r="P47" s="68"/>
      <c r="Q47" s="64"/>
      <c r="R47" s="64"/>
      <c r="S47" s="54">
        <f t="shared" si="0"/>
        <v>0</v>
      </c>
      <c r="T47" s="54">
        <f t="shared" si="1"/>
        <v>0</v>
      </c>
      <c r="U47" s="54">
        <f t="shared" si="2"/>
        <v>0</v>
      </c>
    </row>
    <row r="48" spans="1:21" ht="30" customHeight="1" thickBot="1" x14ac:dyDescent="0.3">
      <c r="A48" s="55" t="s">
        <v>24</v>
      </c>
      <c r="B48" s="7">
        <v>19</v>
      </c>
      <c r="C48" s="225"/>
      <c r="D48" s="226"/>
      <c r="E48" s="226"/>
      <c r="F48" s="226"/>
      <c r="G48" s="227"/>
      <c r="H48" s="57"/>
      <c r="I48" s="228"/>
      <c r="J48" s="229"/>
      <c r="K48" s="229"/>
      <c r="L48" s="230"/>
      <c r="M48" s="51"/>
      <c r="N48" s="52"/>
      <c r="O48" s="53"/>
      <c r="P48" s="53"/>
      <c r="Q48" s="53"/>
      <c r="R48" s="53"/>
      <c r="S48" s="54">
        <f t="shared" si="0"/>
        <v>0</v>
      </c>
      <c r="T48" s="54">
        <f t="shared" si="1"/>
        <v>0</v>
      </c>
      <c r="U48" s="54">
        <f t="shared" si="2"/>
        <v>0</v>
      </c>
    </row>
    <row r="49" spans="1:21" ht="30" customHeight="1" thickBot="1" x14ac:dyDescent="0.3">
      <c r="A49" s="55" t="s">
        <v>24</v>
      </c>
      <c r="B49" s="7">
        <v>20</v>
      </c>
      <c r="C49" s="225"/>
      <c r="D49" s="226"/>
      <c r="E49" s="226"/>
      <c r="F49" s="226"/>
      <c r="G49" s="227"/>
      <c r="H49" s="57"/>
      <c r="I49" s="228"/>
      <c r="J49" s="229"/>
      <c r="K49" s="229"/>
      <c r="L49" s="230"/>
      <c r="M49" s="51"/>
      <c r="N49" s="52"/>
      <c r="O49" s="53"/>
      <c r="P49" s="53"/>
      <c r="Q49" s="53"/>
      <c r="R49" s="53"/>
      <c r="S49" s="54">
        <f t="shared" si="0"/>
        <v>0</v>
      </c>
      <c r="T49" s="54">
        <f t="shared" si="1"/>
        <v>0</v>
      </c>
      <c r="U49" s="54">
        <f t="shared" si="2"/>
        <v>0</v>
      </c>
    </row>
    <row r="50" spans="1:21" ht="30" customHeight="1" thickBot="1" x14ac:dyDescent="0.3">
      <c r="A50" s="55" t="s">
        <v>24</v>
      </c>
      <c r="B50" s="7">
        <v>21</v>
      </c>
      <c r="C50" s="225"/>
      <c r="D50" s="226"/>
      <c r="E50" s="226"/>
      <c r="F50" s="226"/>
      <c r="G50" s="227"/>
      <c r="H50" s="57"/>
      <c r="I50" s="228"/>
      <c r="J50" s="229"/>
      <c r="K50" s="229"/>
      <c r="L50" s="230"/>
      <c r="M50" s="51"/>
      <c r="N50" s="52"/>
      <c r="O50" s="53"/>
      <c r="P50" s="53"/>
      <c r="Q50" s="53"/>
      <c r="R50" s="53"/>
      <c r="S50" s="54">
        <f t="shared" si="0"/>
        <v>0</v>
      </c>
      <c r="T50" s="54">
        <f t="shared" si="1"/>
        <v>0</v>
      </c>
      <c r="U50" s="54">
        <f t="shared" si="2"/>
        <v>0</v>
      </c>
    </row>
    <row r="51" spans="1:21" ht="30" customHeight="1" thickBot="1" x14ac:dyDescent="0.3">
      <c r="A51" s="55" t="s">
        <v>24</v>
      </c>
      <c r="B51" s="7">
        <v>22</v>
      </c>
      <c r="C51" s="225"/>
      <c r="D51" s="226"/>
      <c r="E51" s="226"/>
      <c r="F51" s="226"/>
      <c r="G51" s="227"/>
      <c r="H51" s="88"/>
      <c r="I51" s="228"/>
      <c r="J51" s="229"/>
      <c r="K51" s="229"/>
      <c r="L51" s="230"/>
      <c r="M51" s="51"/>
      <c r="N51" s="52"/>
      <c r="O51" s="53"/>
      <c r="P51" s="53"/>
      <c r="Q51" s="53"/>
      <c r="R51" s="53"/>
      <c r="S51" s="54">
        <f t="shared" si="0"/>
        <v>0</v>
      </c>
      <c r="T51" s="54">
        <f t="shared" si="1"/>
        <v>0</v>
      </c>
      <c r="U51" s="54">
        <f t="shared" si="2"/>
        <v>0</v>
      </c>
    </row>
    <row r="52" spans="1:21" ht="30" customHeight="1" thickBot="1" x14ac:dyDescent="0.3">
      <c r="A52" s="55" t="s">
        <v>28</v>
      </c>
      <c r="B52" s="7">
        <v>23</v>
      </c>
      <c r="C52" s="225"/>
      <c r="D52" s="226"/>
      <c r="E52" s="226"/>
      <c r="F52" s="226"/>
      <c r="G52" s="227"/>
      <c r="H52" s="87"/>
      <c r="I52" s="228"/>
      <c r="J52" s="229"/>
      <c r="K52" s="229"/>
      <c r="L52" s="230"/>
      <c r="M52" s="62"/>
      <c r="N52" s="63"/>
      <c r="O52" s="73"/>
      <c r="P52" s="73"/>
      <c r="Q52" s="73"/>
      <c r="R52" s="73"/>
      <c r="S52" s="54">
        <f t="shared" si="0"/>
        <v>0</v>
      </c>
      <c r="T52" s="54">
        <f t="shared" si="1"/>
        <v>0</v>
      </c>
      <c r="U52" s="54">
        <f t="shared" si="2"/>
        <v>0</v>
      </c>
    </row>
    <row r="53" spans="1:21" ht="30" customHeight="1" thickBot="1" x14ac:dyDescent="0.3">
      <c r="A53" s="55" t="s">
        <v>28</v>
      </c>
      <c r="B53" s="7">
        <v>24</v>
      </c>
      <c r="C53" s="225"/>
      <c r="D53" s="226"/>
      <c r="E53" s="226"/>
      <c r="F53" s="226"/>
      <c r="G53" s="227"/>
      <c r="H53" s="56"/>
      <c r="I53" s="228"/>
      <c r="J53" s="229"/>
      <c r="K53" s="229"/>
      <c r="L53" s="230"/>
      <c r="M53" s="51"/>
      <c r="N53" s="52"/>
      <c r="O53" s="53"/>
      <c r="P53" s="53"/>
      <c r="Q53" s="53"/>
      <c r="R53" s="53"/>
      <c r="S53" s="54">
        <f t="shared" si="0"/>
        <v>0</v>
      </c>
      <c r="T53" s="54">
        <f t="shared" si="1"/>
        <v>0</v>
      </c>
      <c r="U53" s="54">
        <f t="shared" si="2"/>
        <v>0</v>
      </c>
    </row>
    <row r="54" spans="1:21" ht="30" customHeight="1" thickBot="1" x14ac:dyDescent="0.3">
      <c r="A54" s="55" t="s">
        <v>28</v>
      </c>
      <c r="B54" s="7">
        <v>25</v>
      </c>
      <c r="C54" s="225"/>
      <c r="D54" s="226"/>
      <c r="E54" s="226"/>
      <c r="F54" s="226"/>
      <c r="G54" s="227"/>
      <c r="H54" s="88"/>
      <c r="I54" s="228"/>
      <c r="J54" s="229"/>
      <c r="K54" s="229"/>
      <c r="L54" s="230"/>
      <c r="M54" s="51"/>
      <c r="N54" s="52"/>
      <c r="O54" s="53"/>
      <c r="P54" s="53"/>
      <c r="Q54" s="53"/>
      <c r="R54" s="53"/>
      <c r="S54" s="54">
        <f t="shared" si="0"/>
        <v>0</v>
      </c>
      <c r="T54" s="54">
        <f t="shared" si="1"/>
        <v>0</v>
      </c>
      <c r="U54" s="54">
        <f t="shared" si="2"/>
        <v>0</v>
      </c>
    </row>
    <row r="55" spans="1:21" ht="30" customHeight="1" thickBot="1" x14ac:dyDescent="0.3">
      <c r="A55" s="55" t="s">
        <v>28</v>
      </c>
      <c r="B55" s="7">
        <v>26</v>
      </c>
      <c r="C55" s="225"/>
      <c r="D55" s="226"/>
      <c r="E55" s="226"/>
      <c r="F55" s="226"/>
      <c r="G55" s="227"/>
      <c r="H55" s="90"/>
      <c r="I55" s="228"/>
      <c r="J55" s="229"/>
      <c r="K55" s="229"/>
      <c r="L55" s="230"/>
      <c r="M55" s="59"/>
      <c r="N55" s="60"/>
      <c r="O55" s="61"/>
      <c r="P55" s="61"/>
      <c r="Q55" s="61"/>
      <c r="R55" s="61"/>
      <c r="S55" s="54">
        <f t="shared" si="0"/>
        <v>0</v>
      </c>
      <c r="T55" s="54">
        <f t="shared" si="1"/>
        <v>0</v>
      </c>
      <c r="U55" s="54">
        <f t="shared" si="2"/>
        <v>0</v>
      </c>
    </row>
    <row r="56" spans="1:21" ht="30" customHeight="1" thickBot="1" x14ac:dyDescent="0.3">
      <c r="A56" s="55" t="s">
        <v>31</v>
      </c>
      <c r="B56" s="7">
        <v>27</v>
      </c>
      <c r="C56" s="225"/>
      <c r="D56" s="226"/>
      <c r="E56" s="226"/>
      <c r="F56" s="226"/>
      <c r="G56" s="227"/>
      <c r="H56" s="57"/>
      <c r="I56" s="228"/>
      <c r="J56" s="229"/>
      <c r="K56" s="229"/>
      <c r="L56" s="230"/>
      <c r="M56" s="51"/>
      <c r="N56" s="52"/>
      <c r="O56" s="53"/>
      <c r="P56" s="53"/>
      <c r="Q56" s="53"/>
      <c r="R56" s="53"/>
      <c r="S56" s="54">
        <f t="shared" si="0"/>
        <v>0</v>
      </c>
      <c r="T56" s="54">
        <f t="shared" si="1"/>
        <v>0</v>
      </c>
      <c r="U56" s="54">
        <f t="shared" si="2"/>
        <v>0</v>
      </c>
    </row>
    <row r="57" spans="1:21" ht="30" customHeight="1" thickBot="1" x14ac:dyDescent="0.3">
      <c r="A57" s="55" t="s">
        <v>31</v>
      </c>
      <c r="B57" s="7">
        <v>28</v>
      </c>
      <c r="C57" s="225"/>
      <c r="D57" s="226"/>
      <c r="E57" s="226"/>
      <c r="F57" s="226"/>
      <c r="G57" s="227"/>
      <c r="H57" s="57"/>
      <c r="I57" s="228"/>
      <c r="J57" s="229"/>
      <c r="K57" s="229"/>
      <c r="L57" s="230"/>
      <c r="M57" s="51"/>
      <c r="N57" s="52"/>
      <c r="O57" s="53"/>
      <c r="P57" s="53"/>
      <c r="Q57" s="53"/>
      <c r="R57" s="53"/>
      <c r="S57" s="54">
        <f t="shared" si="0"/>
        <v>0</v>
      </c>
      <c r="T57" s="54">
        <f t="shared" si="1"/>
        <v>0</v>
      </c>
      <c r="U57" s="54">
        <f t="shared" si="2"/>
        <v>0</v>
      </c>
    </row>
    <row r="58" spans="1:21" ht="30" customHeight="1" thickBot="1" x14ac:dyDescent="0.3">
      <c r="A58" s="55" t="s">
        <v>31</v>
      </c>
      <c r="B58" s="7">
        <v>29</v>
      </c>
      <c r="C58" s="225"/>
      <c r="D58" s="226"/>
      <c r="E58" s="226"/>
      <c r="F58" s="226"/>
      <c r="G58" s="227"/>
      <c r="H58" s="88"/>
      <c r="I58" s="228"/>
      <c r="J58" s="229"/>
      <c r="K58" s="229"/>
      <c r="L58" s="230"/>
      <c r="M58" s="51"/>
      <c r="N58" s="52"/>
      <c r="O58" s="53"/>
      <c r="P58" s="53"/>
      <c r="Q58" s="53"/>
      <c r="R58" s="53"/>
      <c r="S58" s="54">
        <f t="shared" si="0"/>
        <v>0</v>
      </c>
      <c r="T58" s="54">
        <f t="shared" si="1"/>
        <v>0</v>
      </c>
      <c r="U58" s="54">
        <f t="shared" si="2"/>
        <v>0</v>
      </c>
    </row>
    <row r="59" spans="1:21" ht="30" customHeight="1" thickBot="1" x14ac:dyDescent="0.3">
      <c r="A59" s="19" t="s">
        <v>32</v>
      </c>
      <c r="B59" s="18">
        <v>30</v>
      </c>
      <c r="C59" s="240"/>
      <c r="D59" s="241"/>
      <c r="E59" s="241"/>
      <c r="F59" s="241"/>
      <c r="G59" s="242"/>
      <c r="H59" s="56"/>
      <c r="I59" s="243"/>
      <c r="J59" s="244"/>
      <c r="K59" s="244"/>
      <c r="L59" s="245"/>
      <c r="M59" s="51"/>
      <c r="N59" s="52"/>
      <c r="O59" s="53"/>
      <c r="P59" s="53"/>
      <c r="Q59" s="53"/>
      <c r="R59" s="53"/>
      <c r="S59" s="54">
        <f t="shared" si="0"/>
        <v>0</v>
      </c>
      <c r="T59" s="54">
        <f t="shared" si="1"/>
        <v>0</v>
      </c>
      <c r="U59" s="54">
        <f t="shared" si="2"/>
        <v>0</v>
      </c>
    </row>
    <row r="60" spans="1:21" ht="16" thickBot="1" x14ac:dyDescent="0.3">
      <c r="A60" s="74"/>
      <c r="B60" s="75"/>
      <c r="C60" s="75"/>
      <c r="D60" s="75"/>
      <c r="E60" s="75"/>
      <c r="F60" s="75"/>
      <c r="G60" s="75"/>
      <c r="H60" s="75"/>
      <c r="I60" s="76"/>
      <c r="J60" s="77"/>
      <c r="K60" s="77"/>
      <c r="L60" s="2"/>
      <c r="M60" s="78"/>
      <c r="N60" s="78"/>
      <c r="O60" s="79" t="s">
        <v>178</v>
      </c>
      <c r="P60" s="79"/>
      <c r="Q60" s="79"/>
      <c r="R60" s="79"/>
      <c r="S60" s="80">
        <f>SUM(S30:S59)</f>
        <v>59</v>
      </c>
      <c r="T60" s="80">
        <f>SUM(T30:T59)</f>
        <v>51</v>
      </c>
      <c r="U60" s="80">
        <f>SUM(U30:U59)</f>
        <v>51</v>
      </c>
    </row>
    <row r="61" spans="1:21" ht="16" thickBot="1" x14ac:dyDescent="0.3">
      <c r="A61" s="246" t="s">
        <v>163</v>
      </c>
      <c r="B61" s="247"/>
      <c r="C61" s="247"/>
      <c r="D61" s="247"/>
      <c r="E61" s="247"/>
      <c r="F61" s="247"/>
      <c r="G61" s="247"/>
      <c r="H61" s="247"/>
      <c r="I61" s="248"/>
      <c r="J61" s="249" t="s">
        <v>164</v>
      </c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1"/>
    </row>
    <row r="62" spans="1:21" ht="16" thickBot="1" x14ac:dyDescent="0.3">
      <c r="A62" s="206" t="s">
        <v>165</v>
      </c>
      <c r="B62" s="208"/>
      <c r="C62" s="262" t="s">
        <v>25</v>
      </c>
      <c r="D62" s="263"/>
      <c r="E62" s="264" t="s">
        <v>166</v>
      </c>
      <c r="F62" s="265"/>
      <c r="G62" s="266"/>
      <c r="H62" s="267"/>
      <c r="I62" s="268"/>
      <c r="J62" s="6" t="s">
        <v>21</v>
      </c>
      <c r="K62" s="5"/>
      <c r="L62" s="6" t="s">
        <v>167</v>
      </c>
      <c r="M62" s="15"/>
      <c r="N62" s="269" t="s">
        <v>168</v>
      </c>
      <c r="O62" s="270"/>
      <c r="P62" s="270"/>
      <c r="Q62" s="270"/>
      <c r="R62" s="270"/>
      <c r="S62" s="270"/>
      <c r="T62" s="270"/>
      <c r="U62" s="271"/>
    </row>
    <row r="63" spans="1:21" ht="15.5" x14ac:dyDescent="0.25">
      <c r="A63" s="272">
        <v>1</v>
      </c>
      <c r="B63" s="4" t="s">
        <v>169</v>
      </c>
      <c r="C63" s="274"/>
      <c r="D63" s="275"/>
      <c r="E63" s="276"/>
      <c r="F63" s="277"/>
      <c r="G63" s="278"/>
      <c r="H63" s="276"/>
      <c r="I63" s="278"/>
      <c r="J63" s="328"/>
      <c r="K63" s="329"/>
      <c r="L63" s="322"/>
      <c r="M63" s="324"/>
      <c r="N63" s="322"/>
      <c r="O63" s="323"/>
      <c r="P63" s="323"/>
      <c r="Q63" s="323"/>
      <c r="R63" s="323"/>
      <c r="S63" s="323"/>
      <c r="T63" s="323"/>
      <c r="U63" s="324"/>
    </row>
    <row r="64" spans="1:21" ht="16" thickBot="1" x14ac:dyDescent="0.3">
      <c r="A64" s="273"/>
      <c r="B64" s="3" t="s">
        <v>172</v>
      </c>
      <c r="C64" s="255"/>
      <c r="D64" s="256"/>
      <c r="E64" s="257"/>
      <c r="F64" s="258"/>
      <c r="G64" s="259"/>
      <c r="H64" s="257"/>
      <c r="I64" s="259"/>
      <c r="J64" s="151"/>
      <c r="K64" s="153"/>
      <c r="L64" s="325"/>
      <c r="M64" s="326"/>
      <c r="N64" s="325"/>
      <c r="O64" s="327"/>
      <c r="P64" s="327"/>
      <c r="Q64" s="327"/>
      <c r="R64" s="327"/>
      <c r="S64" s="327"/>
      <c r="T64" s="327"/>
      <c r="U64" s="326"/>
    </row>
    <row r="65" spans="1:21" ht="15.5" x14ac:dyDescent="0.25">
      <c r="A65" s="272">
        <v>2</v>
      </c>
      <c r="B65" s="4" t="s">
        <v>169</v>
      </c>
      <c r="C65" s="274"/>
      <c r="D65" s="275"/>
      <c r="E65" s="276"/>
      <c r="F65" s="277"/>
      <c r="G65" s="278"/>
      <c r="H65" s="276"/>
      <c r="I65" s="278"/>
      <c r="J65" s="328"/>
      <c r="K65" s="329"/>
      <c r="L65" s="322"/>
      <c r="M65" s="324"/>
      <c r="N65" s="322"/>
      <c r="O65" s="323"/>
      <c r="P65" s="323"/>
      <c r="Q65" s="323"/>
      <c r="R65" s="323"/>
      <c r="S65" s="323"/>
      <c r="T65" s="323"/>
      <c r="U65" s="324"/>
    </row>
    <row r="66" spans="1:21" ht="16" thickBot="1" x14ac:dyDescent="0.3">
      <c r="A66" s="273"/>
      <c r="B66" s="3" t="s">
        <v>172</v>
      </c>
      <c r="C66" s="255"/>
      <c r="D66" s="256"/>
      <c r="E66" s="257"/>
      <c r="F66" s="258"/>
      <c r="G66" s="259"/>
      <c r="H66" s="257"/>
      <c r="I66" s="259"/>
      <c r="J66" s="151"/>
      <c r="K66" s="153"/>
      <c r="L66" s="325"/>
      <c r="M66" s="326"/>
      <c r="N66" s="325"/>
      <c r="O66" s="327"/>
      <c r="P66" s="327"/>
      <c r="Q66" s="327"/>
      <c r="R66" s="327"/>
      <c r="S66" s="327"/>
      <c r="T66" s="327"/>
      <c r="U66" s="326"/>
    </row>
    <row r="67" spans="1:21" ht="15.5" x14ac:dyDescent="0.25">
      <c r="A67" s="286">
        <v>3</v>
      </c>
      <c r="B67" s="4" t="s">
        <v>169</v>
      </c>
      <c r="C67" s="274"/>
      <c r="D67" s="275"/>
      <c r="E67" s="276"/>
      <c r="F67" s="277"/>
      <c r="G67" s="278"/>
      <c r="H67" s="276"/>
      <c r="I67" s="278"/>
      <c r="J67" s="328"/>
      <c r="K67" s="329"/>
      <c r="L67" s="322"/>
      <c r="M67" s="324"/>
      <c r="N67" s="322"/>
      <c r="O67" s="323"/>
      <c r="P67" s="323"/>
      <c r="Q67" s="323"/>
      <c r="R67" s="323"/>
      <c r="S67" s="323"/>
      <c r="T67" s="323"/>
      <c r="U67" s="324"/>
    </row>
    <row r="68" spans="1:21" ht="16" thickBot="1" x14ac:dyDescent="0.3">
      <c r="A68" s="287"/>
      <c r="B68" s="3" t="s">
        <v>172</v>
      </c>
      <c r="C68" s="255"/>
      <c r="D68" s="256"/>
      <c r="E68" s="257"/>
      <c r="F68" s="258"/>
      <c r="G68" s="259"/>
      <c r="H68" s="257"/>
      <c r="I68" s="259"/>
      <c r="J68" s="151"/>
      <c r="K68" s="153"/>
      <c r="L68" s="325"/>
      <c r="M68" s="326"/>
      <c r="N68" s="325"/>
      <c r="O68" s="327"/>
      <c r="P68" s="327"/>
      <c r="Q68" s="327"/>
      <c r="R68" s="327"/>
      <c r="S68" s="327"/>
      <c r="T68" s="327"/>
      <c r="U68" s="326"/>
    </row>
  </sheetData>
  <mergeCells count="190">
    <mergeCell ref="A3:E3"/>
    <mergeCell ref="F3:H3"/>
    <mergeCell ref="I3:U3"/>
    <mergeCell ref="A4:E4"/>
    <mergeCell ref="F4:H4"/>
    <mergeCell ref="J4:U4"/>
    <mergeCell ref="A1:B1"/>
    <mergeCell ref="C1:D1"/>
    <mergeCell ref="E1:U1"/>
    <mergeCell ref="A2:E2"/>
    <mergeCell ref="F2:H2"/>
    <mergeCell ref="I2:U2"/>
    <mergeCell ref="A5:E5"/>
    <mergeCell ref="F5:H5"/>
    <mergeCell ref="J5:U5"/>
    <mergeCell ref="G6:O6"/>
    <mergeCell ref="A8:A13"/>
    <mergeCell ref="B8:D8"/>
    <mergeCell ref="F8:F16"/>
    <mergeCell ref="G8:H8"/>
    <mergeCell ref="J8:J13"/>
    <mergeCell ref="K8:N8"/>
    <mergeCell ref="B11:D11"/>
    <mergeCell ref="G11:H11"/>
    <mergeCell ref="K11:N11"/>
    <mergeCell ref="B12:D12"/>
    <mergeCell ref="G12:H12"/>
    <mergeCell ref="B13:D13"/>
    <mergeCell ref="G13:H13"/>
    <mergeCell ref="K13:N13"/>
    <mergeCell ref="B9:D9"/>
    <mergeCell ref="G9:H9"/>
    <mergeCell ref="K9:N9"/>
    <mergeCell ref="B10:D10"/>
    <mergeCell ref="G10:H10"/>
    <mergeCell ref="K10:N10"/>
    <mergeCell ref="A14:A26"/>
    <mergeCell ref="B14:D14"/>
    <mergeCell ref="G14:H14"/>
    <mergeCell ref="J14:J21"/>
    <mergeCell ref="K14:N14"/>
    <mergeCell ref="B15:D15"/>
    <mergeCell ref="G15:H15"/>
    <mergeCell ref="K15:N15"/>
    <mergeCell ref="B16:D16"/>
    <mergeCell ref="G16:H16"/>
    <mergeCell ref="K19:N19"/>
    <mergeCell ref="B20:D20"/>
    <mergeCell ref="G20:H20"/>
    <mergeCell ref="K20:N20"/>
    <mergeCell ref="B21:D21"/>
    <mergeCell ref="G21:H21"/>
    <mergeCell ref="K21:N21"/>
    <mergeCell ref="K16:N16"/>
    <mergeCell ref="B17:D17"/>
    <mergeCell ref="F17:F26"/>
    <mergeCell ref="G17:H17"/>
    <mergeCell ref="K17:N17"/>
    <mergeCell ref="B18:D18"/>
    <mergeCell ref="G18:H18"/>
    <mergeCell ref="K18:N18"/>
    <mergeCell ref="B19:D19"/>
    <mergeCell ref="G19:H19"/>
    <mergeCell ref="B22:D22"/>
    <mergeCell ref="G22:H22"/>
    <mergeCell ref="J22:J26"/>
    <mergeCell ref="K22:N22"/>
    <mergeCell ref="B23:D23"/>
    <mergeCell ref="G23:H23"/>
    <mergeCell ref="K23:N23"/>
    <mergeCell ref="B24:D24"/>
    <mergeCell ref="G24:H24"/>
    <mergeCell ref="K24:N24"/>
    <mergeCell ref="C28:G28"/>
    <mergeCell ref="I28:L28"/>
    <mergeCell ref="N28:O29"/>
    <mergeCell ref="P28:R28"/>
    <mergeCell ref="S28:U28"/>
    <mergeCell ref="C30:G30"/>
    <mergeCell ref="I30:L30"/>
    <mergeCell ref="B25:D25"/>
    <mergeCell ref="G25:H25"/>
    <mergeCell ref="K25:N25"/>
    <mergeCell ref="B26:D26"/>
    <mergeCell ref="G26:H26"/>
    <mergeCell ref="K26:N26"/>
    <mergeCell ref="C34:G34"/>
    <mergeCell ref="I34:L34"/>
    <mergeCell ref="C35:G35"/>
    <mergeCell ref="I35:L35"/>
    <mergeCell ref="C36:G36"/>
    <mergeCell ref="I36:L36"/>
    <mergeCell ref="C31:G31"/>
    <mergeCell ref="I31:L31"/>
    <mergeCell ref="C32:G32"/>
    <mergeCell ref="I32:L32"/>
    <mergeCell ref="C33:G33"/>
    <mergeCell ref="I33:L33"/>
    <mergeCell ref="C40:G40"/>
    <mergeCell ref="I40:L40"/>
    <mergeCell ref="C41:G41"/>
    <mergeCell ref="I41:L41"/>
    <mergeCell ref="C42:G42"/>
    <mergeCell ref="I42:L42"/>
    <mergeCell ref="C37:G37"/>
    <mergeCell ref="I37:L37"/>
    <mergeCell ref="C38:G38"/>
    <mergeCell ref="I38:L38"/>
    <mergeCell ref="C39:G39"/>
    <mergeCell ref="I39:L39"/>
    <mergeCell ref="C46:G46"/>
    <mergeCell ref="I46:L46"/>
    <mergeCell ref="C47:G47"/>
    <mergeCell ref="I47:L47"/>
    <mergeCell ref="C48:G48"/>
    <mergeCell ref="I48:L48"/>
    <mergeCell ref="C43:G43"/>
    <mergeCell ref="I43:L43"/>
    <mergeCell ref="C44:G44"/>
    <mergeCell ref="I44:L44"/>
    <mergeCell ref="C45:G45"/>
    <mergeCell ref="I45:L45"/>
    <mergeCell ref="C52:G52"/>
    <mergeCell ref="I52:L52"/>
    <mergeCell ref="C53:G53"/>
    <mergeCell ref="I53:L53"/>
    <mergeCell ref="C54:G54"/>
    <mergeCell ref="I54:L54"/>
    <mergeCell ref="C49:G49"/>
    <mergeCell ref="I49:L49"/>
    <mergeCell ref="C50:G50"/>
    <mergeCell ref="I50:L50"/>
    <mergeCell ref="C51:G51"/>
    <mergeCell ref="I51:L51"/>
    <mergeCell ref="C58:G58"/>
    <mergeCell ref="I58:L58"/>
    <mergeCell ref="C59:G59"/>
    <mergeCell ref="I59:L59"/>
    <mergeCell ref="A61:I61"/>
    <mergeCell ref="J61:U61"/>
    <mergeCell ref="C55:G55"/>
    <mergeCell ref="I55:L55"/>
    <mergeCell ref="C56:G56"/>
    <mergeCell ref="I56:L56"/>
    <mergeCell ref="C57:G57"/>
    <mergeCell ref="I57:L57"/>
    <mergeCell ref="L63:M63"/>
    <mergeCell ref="N63:U63"/>
    <mergeCell ref="C64:D64"/>
    <mergeCell ref="E64:G64"/>
    <mergeCell ref="H64:I64"/>
    <mergeCell ref="J64:K64"/>
    <mergeCell ref="L64:M64"/>
    <mergeCell ref="N64:U64"/>
    <mergeCell ref="A62:B62"/>
    <mergeCell ref="C62:D62"/>
    <mergeCell ref="E62:G62"/>
    <mergeCell ref="H62:I62"/>
    <mergeCell ref="N62:U62"/>
    <mergeCell ref="A63:A64"/>
    <mergeCell ref="C63:D63"/>
    <mergeCell ref="E63:G63"/>
    <mergeCell ref="H63:I63"/>
    <mergeCell ref="J63:K63"/>
    <mergeCell ref="N65:U65"/>
    <mergeCell ref="C66:D66"/>
    <mergeCell ref="E66:G66"/>
    <mergeCell ref="H66:I66"/>
    <mergeCell ref="J66:K66"/>
    <mergeCell ref="L66:M66"/>
    <mergeCell ref="N66:U66"/>
    <mergeCell ref="A65:A66"/>
    <mergeCell ref="C65:D65"/>
    <mergeCell ref="E65:G65"/>
    <mergeCell ref="H65:I65"/>
    <mergeCell ref="J65:K65"/>
    <mergeCell ref="L65:M65"/>
    <mergeCell ref="N67:U67"/>
    <mergeCell ref="C68:D68"/>
    <mergeCell ref="E68:G68"/>
    <mergeCell ref="H68:I68"/>
    <mergeCell ref="J68:K68"/>
    <mergeCell ref="L68:M68"/>
    <mergeCell ref="N68:U68"/>
    <mergeCell ref="A67:A68"/>
    <mergeCell ref="C67:D67"/>
    <mergeCell ref="E67:G67"/>
    <mergeCell ref="H67:I67"/>
    <mergeCell ref="J67:K67"/>
    <mergeCell ref="L67:M67"/>
  </mergeCells>
  <conditionalFormatting sqref="A36:A59">
    <cfRule type="containsText" dxfId="7" priority="1" operator="containsText" text="E">
      <formula>NOT(ISERROR(SEARCH("E",A36)))</formula>
    </cfRule>
    <cfRule type="containsText" dxfId="6" priority="2" operator="containsText" text="C">
      <formula>NOT(ISERROR(SEARCH("C",A36)))</formula>
    </cfRule>
    <cfRule type="containsText" dxfId="5" priority="3" operator="containsText" text="R">
      <formula>NOT(ISERROR(SEARCH("R",A36)))</formula>
    </cfRule>
    <cfRule type="containsText" dxfId="4" priority="4" operator="containsText" text="Q">
      <formula>NOT(ISERROR(SEARCH("Q",A36)))</formula>
    </cfRule>
    <cfRule type="containsText" dxfId="3" priority="5" operator="containsText" text="P">
      <formula>NOT(ISERROR(SEARCH("P",A36)))</formula>
    </cfRule>
    <cfRule type="containsText" dxfId="2" priority="6" operator="containsText" text="S">
      <formula>NOT(ISERROR(SEARCH("S",A36)))</formula>
    </cfRule>
    <cfRule type="expression" dxfId="1" priority="7">
      <formula>$A36=S</formula>
    </cfRule>
  </conditionalFormatting>
  <conditionalFormatting sqref="S30:U59">
    <cfRule type="cellIs" dxfId="0" priority="8" stopIfTrue="1" operator="equal">
      <formula>FALSE</formula>
    </cfRule>
  </conditionalFormatting>
  <dataValidations count="9">
    <dataValidation type="list" showInputMessage="1" showErrorMessage="1" sqref="A36:A59" xr:uid="{C0C81A8B-E35A-4059-8AF9-D4AF778F0728}">
      <formula1>$AF$2:$AF$7</formula1>
    </dataValidation>
    <dataValidation type="list" allowBlank="1" showInputMessage="1" showErrorMessage="1" errorTitle="Frequency Interval" error="Please Choose Day, Week, Month, or Year" promptTitle="Frequency Interval" prompt="Please Choose Day, Week, Month, or Year" sqref="O30:O59" xr:uid="{34967465-11CD-4362-8D81-5963821BC065}">
      <formula1>$AC$2:$AC$5</formula1>
    </dataValidation>
    <dataValidation type="decimal" allowBlank="1" showInputMessage="1" showErrorMessage="1" errorTitle="Task Cycle Time" error="Please enter Task Cycle Time between 0 and 4800" promptTitle="Task Cycle Time" prompt="Please enter Task Cycle Time between 0 and 4800" sqref="M30:M59" xr:uid="{B5747778-2CE4-46BF-948E-48AD96F83745}">
      <formula1>0</formula1>
      <formula2>4800</formula2>
    </dataValidation>
    <dataValidation type="whole" allowBlank="1" showInputMessage="1" showErrorMessage="1" errorTitle="Task Frequency" error="Please enter Task Frequency between 0 and 100" promptTitle="Task Frequency" prompt="Please enter Task Frequency between 0 and 100. Tasks that are done as-needed on an irregular basis should have Frequency = 0." sqref="N30:N59" xr:uid="{796F4949-3CA3-4E92-9875-906406AE6344}">
      <formula1>0</formula1>
      <formula2>100</formula2>
    </dataValidation>
    <dataValidation type="list" allowBlank="1" showInputMessage="1" showErrorMessage="1" sqref="P30:R59" xr:uid="{FE674CB1-F8EA-416A-A98F-C0A0AD4E6C2A}">
      <formula1>$AD$2:$AD$3</formula1>
    </dataValidation>
    <dataValidation type="date" allowBlank="1" showInputMessage="1" showErrorMessage="1" errorTitle="Change Date" error="Please enter Change Date between 1/1/2007 and 1/1/2020" promptTitle="Change Date" prompt="Please enter Change Date between 1/1/2007 and 1/1/2020" sqref="J63:K68" xr:uid="{A0599AEE-618D-4AAB-97D0-8D6AF1B5A7C7}">
      <formula1>39083</formula1>
      <formula2>73051</formula2>
    </dataValidation>
    <dataValidation type="list" allowBlank="1" showInputMessage="1" showErrorMessage="1" sqref="F3:H3" xr:uid="{3F578B94-5E38-4877-9FA0-5130DAC450A1}">
      <formula1>$AB$2:$AB$5</formula1>
    </dataValidation>
    <dataValidation operator="lessThanOrEqual" allowBlank="1" showInputMessage="1" showErrorMessage="1" errorTitle="Task Number" error="Please enter alpha-numeric Task Number with five characters or less" promptTitle="Task Number" prompt="Please enter alpha-numeric Task Number with five characters or less" sqref="H58 H42 H44:H45 H51:H52 H54:H55" xr:uid="{8B2341FA-F5F5-46CC-8A48-54763B532865}"/>
    <dataValidation type="textLength" operator="lessThanOrEqual" allowBlank="1" showInputMessage="1" showErrorMessage="1" errorTitle="Task Number" error="Please enter alpha-numeric Task Number with five characters or less" promptTitle="Task Number" prompt="Please enter alpha-numeric Task Number with five characters or less" sqref="H38 H41" xr:uid="{E60762F1-61DD-474A-BA4F-C9070DC48587}">
      <formula1>5</formula1>
    </dataValidation>
  </dataValidations>
  <pageMargins left="0.25" right="0" top="0.25" bottom="0.25" header="0" footer="0.25"/>
  <pageSetup scale="46" orientation="portrait" r:id="rId1"/>
  <headerFooter>
    <oddFooter>&amp;LAPP06-F08&amp;RRevised : 4/8/25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8FF1B-DF2A-40FD-8077-F4E7E4E85EB5}">
  <dimension ref="A1"/>
  <sheetViews>
    <sheetView topLeftCell="A16" workbookViewId="0"/>
  </sheetViews>
  <sheetFormatPr defaultRowHeight="12.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490ae2d-a6f3-4241-a11d-42a1e925fe90">
      <UserInfo>
        <DisplayName/>
        <AccountId xsi:nil="true"/>
        <AccountType/>
      </UserInfo>
    </SharedWithUsers>
    <TaxCatchAll xmlns="a490ae2d-a6f3-4241-a11d-42a1e925fe90" xsi:nil="true"/>
    <lcf76f155ced4ddcb4097134ff3c332f xmlns="bcb21422-fa63-40a4-8e7e-5f45cc55fe1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32B5504BD94F47BC5B77B17933D979" ma:contentTypeVersion="17" ma:contentTypeDescription="Create a new document." ma:contentTypeScope="" ma:versionID="9e2380d832f47e2bd541e824ceff534c">
  <xsd:schema xmlns:xsd="http://www.w3.org/2001/XMLSchema" xmlns:xs="http://www.w3.org/2001/XMLSchema" xmlns:p="http://schemas.microsoft.com/office/2006/metadata/properties" xmlns:ns2="bcb21422-fa63-40a4-8e7e-5f45cc55fe13" xmlns:ns3="a490ae2d-a6f3-4241-a11d-42a1e925fe90" targetNamespace="http://schemas.microsoft.com/office/2006/metadata/properties" ma:root="true" ma:fieldsID="7f8156bb5d8a2ee00af119d1b623b480" ns2:_="" ns3:_="">
    <xsd:import namespace="bcb21422-fa63-40a4-8e7e-5f45cc55fe13"/>
    <xsd:import namespace="a490ae2d-a6f3-4241-a11d-42a1e925fe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21422-fa63-40a4-8e7e-5f45cc55fe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af17da1-06a2-4bae-a8e1-5c7635ed6c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0ae2d-a6f3-4241-a11d-42a1e925fe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4ebb3c85-9d4a-4e9b-9b48-66cc8af59f86}" ma:internalName="TaxCatchAll" ma:showField="CatchAllData" ma:web="a490ae2d-a6f3-4241-a11d-42a1e925fe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DE9F5F-6969-490A-AB85-AA9905133910}">
  <ds:schemaRefs>
    <ds:schemaRef ds:uri="http://purl.org/dc/elements/1.1/"/>
    <ds:schemaRef ds:uri="a490ae2d-a6f3-4241-a11d-42a1e925fe90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bcb21422-fa63-40a4-8e7e-5f45cc55fe1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94EA1D3-C921-4D7F-A76A-5E6E02FC5C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5115B9-3F29-4440-A1BE-C4C4BC2129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b21422-fa63-40a4-8e7e-5f45cc55fe13"/>
    <ds:schemaRef ds:uri="a490ae2d-a6f3-4241-a11d-42a1e925fe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996c9c4-3724-4123-bc5e-292b72636728}" enabled="1" method="Privileged" siteId="{5de110f8-2e0f-4d45-891d-bcf2218e253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J1-Page1</vt:lpstr>
      <vt:lpstr>J1-Page2</vt:lpstr>
      <vt:lpstr>STS Example</vt:lpstr>
      <vt:lpstr>STS Audit</vt:lpstr>
      <vt:lpstr>'J1-Page1'!Print_Area</vt:lpstr>
      <vt:lpstr>'J1-Page2'!Print_Area</vt:lpstr>
      <vt:lpstr>'STS Example'!Print_Area</vt:lpstr>
      <vt:lpstr>'J1-Page1'!Print_Titles</vt:lpstr>
      <vt:lpstr>'J1-Page2'!Print_Titles</vt:lpstr>
      <vt:lpstr>'STS Example'!Print_Titles</vt:lpstr>
    </vt:vector>
  </TitlesOfParts>
  <Manager/>
  <Company>GM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General Standard Task Sheet (STS)</dc:title>
  <dc:subject/>
  <dc:creator>Linda E Arnold</dc:creator>
  <cp:keywords/>
  <dc:description/>
  <cp:lastModifiedBy>David Elliott</cp:lastModifiedBy>
  <cp:revision/>
  <cp:lastPrinted>2026-04-09T18:37:34Z</cp:lastPrinted>
  <dcterms:created xsi:type="dcterms:W3CDTF">2008-06-11T15:12:54Z</dcterms:created>
  <dcterms:modified xsi:type="dcterms:W3CDTF">2026-09-10T19:19:32Z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0x0101007832B5504BD94F47BC5B77B17933D979</vt:lpwstr>
  </property>
  <property fmtid="{D5CDD505-2E9C-101B-9397-08002B2CF9AE}" pid="3" name="_dlc_policyId">
    <vt:lpwstr>0x010100AD8D707067F0FA4283977334F2487B88|-1964542337</vt:lpwstr>
  </property>
  <property fmtid="{D5CDD505-2E9C-101B-9397-08002B2CF9AE}" pid="4" name="ItemRetentionFormula">
    <vt:lpwstr>&lt;formula id="Microsoft.Office.RecordsManagement.PolicyFeatures.Expiration.Formula.BuiltIn" offset="1" unit="months"&gt;&lt;number&gt;3&lt;/number&gt;&lt;property&gt;Review_x005f_x0020_Date&lt;/property&gt;&lt;propertyId&gt;2be3e167-9d5c-4115-92b2-c3dab1003f69&lt;/propertyId&gt;&lt;period&gt;years&lt;/period&gt;&lt;/formula&gt;</vt:lpwstr>
  </property>
  <property fmtid="{D5CDD505-2E9C-101B-9397-08002B2CF9AE}" pid="5" name="_dlc_DocIdItemGuid">
    <vt:lpwstr>7087d30e-7d15-486b-bd80-33f9ed1121cd</vt:lpwstr>
  </property>
  <property fmtid="{D5CDD505-2E9C-101B-9397-08002B2CF9AE}" pid="6" name="Site">
    <vt:lpwstr/>
  </property>
  <property fmtid="{D5CDD505-2E9C-101B-9397-08002B2CF9AE}" pid="7" name="GMSElements">
    <vt:lpwstr/>
  </property>
  <property fmtid="{D5CDD505-2E9C-101B-9397-08002B2CF9AE}" pid="8" name="ISO_x0020_Elements">
    <vt:lpwstr/>
  </property>
  <property fmtid="{D5CDD505-2E9C-101B-9397-08002B2CF9AE}" pid="9" name="DepartmentAreaDetails">
    <vt:lpwstr/>
  </property>
  <property fmtid="{D5CDD505-2E9C-101B-9397-08002B2CF9AE}" pid="10" name="Shop_x0020_Area">
    <vt:lpwstr/>
  </property>
  <property fmtid="{D5CDD505-2E9C-101B-9397-08002B2CF9AE}" pid="11" name="ISO Elements">
    <vt:lpwstr/>
  </property>
  <property fmtid="{D5CDD505-2E9C-101B-9397-08002B2CF9AE}" pid="12" name="Shop Area">
    <vt:lpwstr/>
  </property>
  <property fmtid="{D5CDD505-2E9C-101B-9397-08002B2CF9AE}" pid="13" name="WorkflowCreationPath">
    <vt:lpwstr>fd64b672-377f-427c-ab77-2c3719b042b3,4;fd64b672-377f-427c-ab77-2c3719b042b3,4;fd64b672-377f-427c-ab77-2c3719b042b3,4;98b619e4-722d-497d-b1a5-aa1941cbafc9,13;98b619e4-722d-497d-b1a5-aa1941cbafc9,13;98b619e4-722d-497d-b1a5-aa1941cbafc9,13;ad1c94ee-7783-4faf</vt:lpwstr>
  </property>
  <property fmtid="{D5CDD505-2E9C-101B-9397-08002B2CF9AE}" pid="14" name="Order">
    <vt:r8>75600</vt:r8>
  </property>
  <property fmtid="{D5CDD505-2E9C-101B-9397-08002B2CF9AE}" pid="15" name="Dept-Operation-ShopArea">
    <vt:lpwstr/>
  </property>
  <property fmtid="{D5CDD505-2E9C-101B-9397-08002B2CF9AE}" pid="16" name="ILM-IQ Escalation Person">
    <vt:lpwstr/>
  </property>
  <property fmtid="{D5CDD505-2E9C-101B-9397-08002B2CF9AE}" pid="17" name="ILM-IQ Auditor">
    <vt:lpwstr/>
  </property>
  <property fmtid="{D5CDD505-2E9C-101B-9397-08002B2CF9AE}" pid="18" name="od0690b7f491472bba7faa8eb8bb5d34">
    <vt:lpwstr/>
  </property>
  <property fmtid="{D5CDD505-2E9C-101B-9397-08002B2CF9AE}" pid="19" name="Operation">
    <vt:lpwstr/>
  </property>
  <property fmtid="{D5CDD505-2E9C-101B-9397-08002B2CF9AE}" pid="20" name="WorkflowChangePath">
    <vt:lpwstr>5625fb7f-b869-4659-85ab-ad33bec2b424,18;5625fb7f-b869-4659-85ab-ad33bec2b424,18;b3f459fa-4a73-4d98-9579-33f4e23d1080,36;b3f459fa-4a73-4d98-9579-33f4e23d1080,96;</vt:lpwstr>
  </property>
  <property fmtid="{D5CDD505-2E9C-101B-9397-08002B2CF9AE}" pid="21" name="_dlc_LastRun">
    <vt:lpwstr>04/01/2018 02:56:35</vt:lpwstr>
  </property>
  <property fmtid="{D5CDD505-2E9C-101B-9397-08002B2CF9AE}" pid="22" name="_dlc_ItemStageId">
    <vt:lpwstr>4</vt:lpwstr>
  </property>
  <property fmtid="{D5CDD505-2E9C-101B-9397-08002B2CF9AE}" pid="23" name="Document Status">
    <vt:lpwstr>Published</vt:lpwstr>
  </property>
  <property fmtid="{D5CDD505-2E9C-101B-9397-08002B2CF9AE}" pid="24" name="ladbe7fcf8484e85a1138cade6433755">
    <vt:lpwstr/>
  </property>
  <property fmtid="{D5CDD505-2E9C-101B-9397-08002B2CF9AE}" pid="25" name="DocType">
    <vt:lpwstr>ISO 9001 Forms</vt:lpwstr>
  </property>
  <property fmtid="{D5CDD505-2E9C-101B-9397-08002B2CF9AE}" pid="26" name="MSIP_Label_4996c9c4-3724-4123-bc5e-292b72636728_Enabled">
    <vt:lpwstr>true</vt:lpwstr>
  </property>
  <property fmtid="{D5CDD505-2E9C-101B-9397-08002B2CF9AE}" pid="27" name="MSIP_Label_4996c9c4-3724-4123-bc5e-292b72636728_SetDate">
    <vt:lpwstr>2023-03-29T20:04:01Z</vt:lpwstr>
  </property>
  <property fmtid="{D5CDD505-2E9C-101B-9397-08002B2CF9AE}" pid="28" name="MSIP_Label_4996c9c4-3724-4123-bc5e-292b72636728_Method">
    <vt:lpwstr>Privileged</vt:lpwstr>
  </property>
  <property fmtid="{D5CDD505-2E9C-101B-9397-08002B2CF9AE}" pid="29" name="MSIP_Label_4996c9c4-3724-4123-bc5e-292b72636728_Name">
    <vt:lpwstr>4996c9c4-3724-4123-bc5e-292b72636728</vt:lpwstr>
  </property>
  <property fmtid="{D5CDD505-2E9C-101B-9397-08002B2CF9AE}" pid="30" name="MSIP_Label_4996c9c4-3724-4123-bc5e-292b72636728_SiteId">
    <vt:lpwstr>5de110f8-2e0f-4d45-891d-bcf2218e253d</vt:lpwstr>
  </property>
  <property fmtid="{D5CDD505-2E9C-101B-9397-08002B2CF9AE}" pid="31" name="MSIP_Label_4996c9c4-3724-4123-bc5e-292b72636728_ContentBits">
    <vt:lpwstr>0</vt:lpwstr>
  </property>
  <property fmtid="{D5CDD505-2E9C-101B-9397-08002B2CF9AE}" pid="32" name="MSIP_Label_4996c9c4-3724-4123-bc5e-292b72636728_Extended_MSFT_Method">
    <vt:lpwstr>Manual</vt:lpwstr>
  </property>
  <property fmtid="{D5CDD505-2E9C-101B-9397-08002B2CF9AE}" pid="33" name="Region">
    <vt:lpwstr/>
  </property>
  <property fmtid="{D5CDD505-2E9C-101B-9397-08002B2CF9AE}" pid="34" name="ShowCombineView">
    <vt:lpwstr/>
  </property>
  <property fmtid="{D5CDD505-2E9C-101B-9397-08002B2CF9AE}" pid="35" name="ComplianceAssetId">
    <vt:lpwstr/>
  </property>
  <property fmtid="{D5CDD505-2E9C-101B-9397-08002B2CF9AE}" pid="36" name="ILM Record Creator">
    <vt:lpwstr/>
  </property>
  <property fmtid="{D5CDD505-2E9C-101B-9397-08002B2CF9AE}" pid="37" name="URL">
    <vt:lpwstr/>
  </property>
  <property fmtid="{D5CDD505-2E9C-101B-9397-08002B2CF9AE}" pid="38" name="Sensitivity">
    <vt:lpwstr>GM Public</vt:lpwstr>
  </property>
  <property fmtid="{D5CDD505-2E9C-101B-9397-08002B2CF9AE}" pid="39" name="SiteNew">
    <vt:lpwstr/>
  </property>
  <property fmtid="{D5CDD505-2E9C-101B-9397-08002B2CF9AE}" pid="40" name="xd_Signature">
    <vt:bool>false</vt:bool>
  </property>
  <property fmtid="{D5CDD505-2E9C-101B-9397-08002B2CF9AE}" pid="41" name="GUID">
    <vt:lpwstr>8fec4be1-d75b-4ed6-a560-44d327e2d012</vt:lpwstr>
  </property>
  <property fmtid="{D5CDD505-2E9C-101B-9397-08002B2CF9AE}" pid="42" name="j65794a9af25408bbb4f7889c1922a65">
    <vt:lpwstr/>
  </property>
  <property fmtid="{D5CDD505-2E9C-101B-9397-08002B2CF9AE}" pid="43" name="MSIP_Label_4996c9c4-3724-4123-bc5e-292b72636728_Application">
    <vt:lpwstr>Microsoft Azure Information Protection</vt:lpwstr>
  </property>
  <property fmtid="{D5CDD505-2E9C-101B-9397-08002B2CF9AE}" pid="44" name="MSIP_Label_4996c9c4-3724-4123-bc5e-292b72636728_Owner">
    <vt:lpwstr>sz8kgp@nam.corp.gm.com</vt:lpwstr>
  </property>
  <property fmtid="{D5CDD505-2E9C-101B-9397-08002B2CF9AE}" pid="45" name="ILM Record Owner">
    <vt:lpwstr/>
  </property>
  <property fmtid="{D5CDD505-2E9C-101B-9397-08002B2CF9AE}" pid="46" name="ILM Created By">
    <vt:lpwstr/>
  </property>
  <property fmtid="{D5CDD505-2E9C-101B-9397-08002B2CF9AE}" pid="47" name="TriggerFlowInfo">
    <vt:lpwstr/>
  </property>
  <property fmtid="{D5CDD505-2E9C-101B-9397-08002B2CF9AE}" pid="48" name="ILM Source">
    <vt:lpwstr/>
  </property>
  <property fmtid="{D5CDD505-2E9C-101B-9397-08002B2CF9AE}" pid="49" name="Cyclic/Non-cyclic">
    <vt:bool>false</vt:bool>
  </property>
  <property fmtid="{D5CDD505-2E9C-101B-9397-08002B2CF9AE}" pid="50" name="ILM-IQ Document Number">
    <vt:lpwstr/>
  </property>
  <property fmtid="{D5CDD505-2E9C-101B-9397-08002B2CF9AE}" pid="51" name="ShowRepairView">
    <vt:lpwstr/>
  </property>
  <property fmtid="{D5CDD505-2E9C-101B-9397-08002B2CF9AE}" pid="52" name="xd_ProgID">
    <vt:lpwstr/>
  </property>
  <property fmtid="{D5CDD505-2E9C-101B-9397-08002B2CF9AE}" pid="53" name="c48d9da9a4e747c495646158fc1531bd">
    <vt:lpwstr/>
  </property>
  <property fmtid="{D5CDD505-2E9C-101B-9397-08002B2CF9AE}" pid="54" name="TemplateUrl">
    <vt:lpwstr/>
  </property>
  <property fmtid="{D5CDD505-2E9C-101B-9397-08002B2CF9AE}" pid="55" name="Products">
    <vt:lpwstr/>
  </property>
  <property fmtid="{D5CDD505-2E9C-101B-9397-08002B2CF9AE}" pid="56" name="_ExtendedDescription">
    <vt:lpwstr/>
  </property>
  <property fmtid="{D5CDD505-2E9C-101B-9397-08002B2CF9AE}" pid="57" name="ILM Information Security Classification">
    <vt:lpwstr/>
  </property>
  <property fmtid="{D5CDD505-2E9C-101B-9397-08002B2CF9AE}" pid="58" name="CheckoutUser">
    <vt:lpwstr>12</vt:lpwstr>
  </property>
  <property fmtid="{D5CDD505-2E9C-101B-9397-08002B2CF9AE}" pid="59" name="ILM_x0020_Information_x0020_Security_x0020_Classification">
    <vt:lpwstr/>
  </property>
  <property fmtid="{D5CDD505-2E9C-101B-9397-08002B2CF9AE}" pid="60" name="Dept_x002d_Operation_x002d_ShopArea">
    <vt:lpwstr/>
  </property>
  <property fmtid="{D5CDD505-2E9C-101B-9397-08002B2CF9AE}" pid="61" name="MediaServiceImageTags">
    <vt:lpwstr/>
  </property>
</Properties>
</file>